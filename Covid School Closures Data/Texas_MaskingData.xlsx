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snin\Downloads\Oden\"/>
    </mc:Choice>
  </mc:AlternateContent>
  <xr:revisionPtr revIDLastSave="0" documentId="13_ncr:1_{7AB92167-CD2C-488B-9DE3-D64D0E9BFA8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 1" sheetId="1" r:id="rId1"/>
    <sheet name="schools" sheetId="3" r:id="rId2"/>
    <sheet name="notes" sheetId="2" r:id="rId3"/>
  </sheets>
  <definedNames>
    <definedName name="_xlnm._FilterDatabase" localSheetId="1" hidden="1">schools!$A$1:$E$1</definedName>
    <definedName name="_xlnm._FilterDatabase" localSheetId="0" hidden="1">'Sheet 1'!$A$1:$R$247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7" i="1" l="1"/>
  <c r="P88" i="1"/>
  <c r="P168" i="1"/>
  <c r="P89" i="1"/>
  <c r="P169" i="1"/>
  <c r="P90" i="1"/>
  <c r="P170" i="1"/>
  <c r="P213" i="1"/>
  <c r="P69" i="1"/>
  <c r="P70" i="1"/>
  <c r="P91" i="1"/>
  <c r="P197" i="1"/>
  <c r="P92" i="1"/>
  <c r="P198" i="1"/>
  <c r="P123" i="1"/>
  <c r="P139" i="1"/>
  <c r="P93" i="1"/>
  <c r="P42" i="1"/>
  <c r="P26" i="1"/>
  <c r="P140" i="1"/>
  <c r="P11" i="1"/>
  <c r="P12" i="1"/>
  <c r="P2" i="1"/>
  <c r="P27" i="1"/>
  <c r="P228" i="1"/>
  <c r="P94" i="1"/>
  <c r="P95" i="1"/>
  <c r="P229" i="1"/>
  <c r="P28" i="1"/>
  <c r="P96" i="1"/>
  <c r="P199" i="1"/>
  <c r="P171" i="1"/>
  <c r="P230" i="1"/>
  <c r="P132" i="1"/>
  <c r="P97" i="1"/>
  <c r="P124" i="1"/>
  <c r="P29" i="1"/>
  <c r="P153" i="1"/>
  <c r="P30" i="1"/>
  <c r="P154" i="1"/>
  <c r="P13" i="1"/>
  <c r="P200" i="1"/>
  <c r="P71" i="1"/>
  <c r="P14" i="1"/>
  <c r="P172" i="1"/>
  <c r="P125" i="1"/>
  <c r="P201" i="1"/>
  <c r="P231" i="1"/>
  <c r="P98" i="1"/>
  <c r="P155" i="1"/>
  <c r="P72" i="1"/>
  <c r="P31" i="1"/>
  <c r="P73" i="1"/>
  <c r="P156" i="1"/>
  <c r="P74" i="1"/>
  <c r="P3" i="1"/>
  <c r="P141" i="1"/>
  <c r="P157" i="1"/>
  <c r="P49" i="1"/>
  <c r="P99" i="1"/>
  <c r="P158" i="1"/>
  <c r="P32" i="1"/>
  <c r="P4" i="1"/>
  <c r="P214" i="1"/>
  <c r="P43" i="1"/>
  <c r="P50" i="1"/>
  <c r="P215" i="1"/>
  <c r="P51" i="1"/>
  <c r="P173" i="1"/>
  <c r="P133" i="1"/>
  <c r="P126" i="1"/>
  <c r="P134" i="1"/>
  <c r="P232" i="1"/>
  <c r="P100" i="1"/>
  <c r="P33" i="1"/>
  <c r="P174" i="1"/>
  <c r="P101" i="1"/>
  <c r="P64" i="1"/>
  <c r="P127" i="1"/>
  <c r="P202" i="1"/>
  <c r="P44" i="1"/>
  <c r="P34" i="1"/>
  <c r="P203" i="1"/>
  <c r="P216" i="1"/>
  <c r="P75" i="1"/>
  <c r="P159" i="1"/>
  <c r="P175" i="1"/>
  <c r="P233" i="1"/>
  <c r="P102" i="1"/>
  <c r="P176" i="1"/>
  <c r="P76" i="1"/>
  <c r="P160" i="1"/>
  <c r="P35" i="1"/>
  <c r="P234" i="1"/>
  <c r="P217" i="1"/>
  <c r="P103" i="1"/>
  <c r="P104" i="1"/>
  <c r="P135" i="1"/>
  <c r="P235" i="1"/>
  <c r="P105" i="1"/>
  <c r="P15" i="1"/>
  <c r="P236" i="1"/>
  <c r="P237" i="1"/>
  <c r="P52" i="1"/>
  <c r="P161" i="1"/>
  <c r="P65" i="1"/>
  <c r="P106" i="1"/>
  <c r="P107" i="1"/>
  <c r="P77" i="1"/>
  <c r="P78" i="1"/>
  <c r="P79" i="1"/>
  <c r="P36" i="1"/>
  <c r="P66" i="1"/>
  <c r="P211" i="1"/>
  <c r="P238" i="1"/>
  <c r="P177" i="1"/>
  <c r="P178" i="1"/>
  <c r="P162" i="1"/>
  <c r="P179" i="1"/>
  <c r="P239" i="1"/>
  <c r="P218" i="1"/>
  <c r="P80" i="1"/>
  <c r="P37" i="1"/>
  <c r="P38" i="1"/>
  <c r="P16" i="1"/>
  <c r="P81" i="1"/>
  <c r="P142" i="1"/>
  <c r="P180" i="1"/>
  <c r="P136" i="1"/>
  <c r="P53" i="1"/>
  <c r="P82" i="1"/>
  <c r="P54" i="1"/>
  <c r="P219" i="1"/>
  <c r="P5" i="1"/>
  <c r="P143" i="1"/>
  <c r="P6" i="1"/>
  <c r="P39" i="1"/>
  <c r="P163" i="1"/>
  <c r="P150" i="1"/>
  <c r="P181" i="1"/>
  <c r="P108" i="1"/>
  <c r="P144" i="1"/>
  <c r="P182" i="1"/>
  <c r="P240" i="1"/>
  <c r="P145" i="1"/>
  <c r="P212" i="1"/>
  <c r="P204" i="1"/>
  <c r="P183" i="1"/>
  <c r="P7" i="1"/>
  <c r="P40" i="1"/>
  <c r="P55" i="1"/>
  <c r="P205" i="1"/>
  <c r="P206" i="1"/>
  <c r="P56" i="1"/>
  <c r="P164" i="1"/>
  <c r="P109" i="1"/>
  <c r="P57" i="1"/>
  <c r="P58" i="1"/>
  <c r="P17" i="1"/>
  <c r="P241" i="1"/>
  <c r="P45" i="1"/>
  <c r="P220" i="1"/>
  <c r="P151" i="1"/>
  <c r="P221" i="1"/>
  <c r="P146" i="1"/>
  <c r="P184" i="1"/>
  <c r="P185" i="1"/>
  <c r="P18" i="1"/>
  <c r="P83" i="1"/>
  <c r="P186" i="1"/>
  <c r="P8" i="1"/>
  <c r="P59" i="1"/>
  <c r="P147" i="1"/>
  <c r="P187" i="1"/>
  <c r="P207" i="1"/>
  <c r="P148" i="1"/>
  <c r="P242" i="1"/>
  <c r="P243" i="1"/>
  <c r="P208" i="1"/>
  <c r="P60" i="1"/>
  <c r="P19" i="1"/>
  <c r="P110" i="1"/>
  <c r="P209" i="1"/>
  <c r="P222" i="1"/>
  <c r="P111" i="1"/>
  <c r="P112" i="1"/>
  <c r="P165" i="1"/>
  <c r="P188" i="1"/>
  <c r="P223" i="1"/>
  <c r="P128" i="1"/>
  <c r="P149" i="1"/>
  <c r="P244" i="1"/>
  <c r="P245" i="1"/>
  <c r="P246" i="1"/>
  <c r="P113" i="1"/>
  <c r="P61" i="1"/>
  <c r="P84" i="1"/>
  <c r="P129" i="1"/>
  <c r="P224" i="1"/>
  <c r="P225" i="1"/>
  <c r="P226" i="1"/>
  <c r="P227" i="1"/>
  <c r="P247" i="1"/>
  <c r="P114" i="1"/>
  <c r="P85" i="1"/>
  <c r="P86" i="1"/>
  <c r="P189" i="1"/>
  <c r="P115" i="1"/>
  <c r="P166" i="1"/>
  <c r="P190" i="1"/>
  <c r="P20" i="1"/>
  <c r="P9" i="1"/>
  <c r="P46" i="1"/>
  <c r="P21" i="1"/>
  <c r="P116" i="1"/>
  <c r="P117" i="1"/>
  <c r="P118" i="1"/>
  <c r="P119" i="1"/>
  <c r="P87" i="1"/>
  <c r="P130" i="1"/>
  <c r="P47" i="1"/>
  <c r="P191" i="1"/>
  <c r="P137" i="1"/>
  <c r="P67" i="1"/>
  <c r="P152" i="1"/>
  <c r="P120" i="1"/>
  <c r="P192" i="1"/>
  <c r="P193" i="1"/>
  <c r="P10" i="1"/>
  <c r="P22" i="1"/>
  <c r="P23" i="1"/>
  <c r="P194" i="1"/>
  <c r="P62" i="1"/>
  <c r="P24" i="1"/>
  <c r="P68" i="1"/>
  <c r="P195" i="1"/>
  <c r="P138" i="1"/>
  <c r="P25" i="1"/>
  <c r="P63" i="1"/>
  <c r="P48" i="1"/>
  <c r="P41" i="1"/>
  <c r="P196" i="1"/>
  <c r="P210" i="1"/>
  <c r="P121" i="1"/>
  <c r="P122" i="1"/>
  <c r="P131" i="1"/>
</calcChain>
</file>

<file path=xl/sharedStrings.xml><?xml version="1.0" encoding="utf-8"?>
<sst xmlns="http://schemas.openxmlformats.org/spreadsheetml/2006/main" count="1933" uniqueCount="803">
  <si>
    <t>Charter</t>
  </si>
  <si>
    <t>DistrictName</t>
  </si>
  <si>
    <t>DistrictType</t>
  </si>
  <si>
    <t>NCESDistrictID</t>
  </si>
  <si>
    <t>EnrollmentTotal</t>
  </si>
  <si>
    <t>StaffMaskPolicy</t>
  </si>
  <si>
    <t>StaffMaskStart1</t>
  </si>
  <si>
    <t>StaffMaskEnd1</t>
  </si>
  <si>
    <t>StaffMaskStart2</t>
  </si>
  <si>
    <t>StaffMaskEnd2</t>
  </si>
  <si>
    <t>StudentMaskPolicy</t>
  </si>
  <si>
    <t>StudentMaskStart1</t>
  </si>
  <si>
    <t>StudentMaskEnd1</t>
  </si>
  <si>
    <t>StudentMaskStart2</t>
  </si>
  <si>
    <t>StudentMaskEnd2</t>
  </si>
  <si>
    <t>Yes</t>
  </si>
  <si>
    <t>Charter agency</t>
  </si>
  <si>
    <t>Required full school year</t>
  </si>
  <si>
    <t>A+ Academy</t>
  </si>
  <si>
    <t>1456</t>
  </si>
  <si>
    <t>A+ Unlimited Potential</t>
  </si>
  <si>
    <t>153</t>
  </si>
  <si>
    <t>No</t>
  </si>
  <si>
    <t>Regular local school district</t>
  </si>
  <si>
    <t>Required at least part of school year</t>
  </si>
  <si>
    <t>3/22/21</t>
  </si>
  <si>
    <t>Academy For Academic Excellence</t>
  </si>
  <si>
    <t>321</t>
  </si>
  <si>
    <t>Academy Of Accelerated Learning Inc</t>
  </si>
  <si>
    <t>852</t>
  </si>
  <si>
    <t>Academy Of Dallas</t>
  </si>
  <si>
    <t>341</t>
  </si>
  <si>
    <t>Accelerated Intermediate Academy</t>
  </si>
  <si>
    <t>233</t>
  </si>
  <si>
    <t>Advantage Academy</t>
  </si>
  <si>
    <t>1208</t>
  </si>
  <si>
    <t>445</t>
  </si>
  <si>
    <t>Alamo Heights Isd</t>
  </si>
  <si>
    <t>4778</t>
  </si>
  <si>
    <t>Aldine Isd</t>
  </si>
  <si>
    <t>63449</t>
  </si>
  <si>
    <t>Alief Isd</t>
  </si>
  <si>
    <t>43233</t>
  </si>
  <si>
    <t>Alief Montessori Community School</t>
  </si>
  <si>
    <t>332</t>
  </si>
  <si>
    <t>Allen Isd</t>
  </si>
  <si>
    <t>21656</t>
  </si>
  <si>
    <t>246</t>
  </si>
  <si>
    <t>Amigos Por Vida-Friends For Life Pub Chtr Sch</t>
  </si>
  <si>
    <t>479</t>
  </si>
  <si>
    <t>Anna Isd</t>
  </si>
  <si>
    <t>3980</t>
  </si>
  <si>
    <t>Anthony Isd</t>
  </si>
  <si>
    <t>787</t>
  </si>
  <si>
    <t>Argyle Isd</t>
  </si>
  <si>
    <t>3751</t>
  </si>
  <si>
    <t>Aristoi Classical Academy</t>
  </si>
  <si>
    <t>1073</t>
  </si>
  <si>
    <t>Arlington Classics Academy</t>
  </si>
  <si>
    <t>1541</t>
  </si>
  <si>
    <t>Arlington Isd</t>
  </si>
  <si>
    <t>56995</t>
  </si>
  <si>
    <t>215</t>
  </si>
  <si>
    <t>Aubrey Isd</t>
  </si>
  <si>
    <t>2642</t>
  </si>
  <si>
    <t>Austin Achieve Public Schools</t>
  </si>
  <si>
    <t>2150</t>
  </si>
  <si>
    <t>Austin Discovery School</t>
  </si>
  <si>
    <t>433</t>
  </si>
  <si>
    <t>Austin Isd</t>
  </si>
  <si>
    <t>75028</t>
  </si>
  <si>
    <t>322</t>
  </si>
  <si>
    <t>Azle Isd</t>
  </si>
  <si>
    <t>6590</t>
  </si>
  <si>
    <t>Basis Texas</t>
  </si>
  <si>
    <t>3050</t>
  </si>
  <si>
    <t>Beatrice Mayes Institute Charter School</t>
  </si>
  <si>
    <t>471</t>
  </si>
  <si>
    <t>Beta Academy</t>
  </si>
  <si>
    <t>1198</t>
  </si>
  <si>
    <t>Bexar County Academy</t>
  </si>
  <si>
    <t>274</t>
  </si>
  <si>
    <t>Birdville Isd</t>
  </si>
  <si>
    <t>21661</t>
  </si>
  <si>
    <t>709</t>
  </si>
  <si>
    <t>8/17/20</t>
  </si>
  <si>
    <t>Bloom Academy Charter School</t>
  </si>
  <si>
    <t>83</t>
  </si>
  <si>
    <t>Blue Ridge Isd</t>
  </si>
  <si>
    <t>864</t>
  </si>
  <si>
    <t>8/1/20</t>
  </si>
  <si>
    <t>497</t>
  </si>
  <si>
    <t>1096</t>
  </si>
  <si>
    <t>326</t>
  </si>
  <si>
    <t>1407</t>
  </si>
  <si>
    <t>Bridgeway Preparatory Academy</t>
  </si>
  <si>
    <t>104</t>
  </si>
  <si>
    <t>Brooks Academies Of Texas</t>
  </si>
  <si>
    <t>3091</t>
  </si>
  <si>
    <t>1640</t>
  </si>
  <si>
    <t>Burnham Wood Charter School District</t>
  </si>
  <si>
    <t>1243</t>
  </si>
  <si>
    <t>Calvin Nelms Charter Schools</t>
  </si>
  <si>
    <t>300</t>
  </si>
  <si>
    <t>287</t>
  </si>
  <si>
    <t>Canutillo Isd</t>
  </si>
  <si>
    <t>5991</t>
  </si>
  <si>
    <t>Carroll Isd</t>
  </si>
  <si>
    <t>8328</t>
  </si>
  <si>
    <t>Carrollton-Farmers Branch Isd</t>
  </si>
  <si>
    <t>24848</t>
  </si>
  <si>
    <t>Castleberry Isd</t>
  </si>
  <si>
    <t>3633</t>
  </si>
  <si>
    <t>Cedar Hill Isd</t>
  </si>
  <si>
    <t>7273</t>
  </si>
  <si>
    <t>Cedars International Academy</t>
  </si>
  <si>
    <t>Celina Isd</t>
  </si>
  <si>
    <t>2959</t>
  </si>
  <si>
    <t>Channelview Isd</t>
  </si>
  <si>
    <t>9292</t>
  </si>
  <si>
    <t>Chaparral Star Academy</t>
  </si>
  <si>
    <t>367</t>
  </si>
  <si>
    <t>Cityscape Schools</t>
  </si>
  <si>
    <t>1212</t>
  </si>
  <si>
    <t>Clint Isd</t>
  </si>
  <si>
    <t>10679</t>
  </si>
  <si>
    <t>Community Isd</t>
  </si>
  <si>
    <t>2752</t>
  </si>
  <si>
    <t>Compass Rose Academy</t>
  </si>
  <si>
    <t>1155</t>
  </si>
  <si>
    <t>Comquest Academy</t>
  </si>
  <si>
    <t>38</t>
  </si>
  <si>
    <t>Coppell Isd</t>
  </si>
  <si>
    <t>13053</t>
  </si>
  <si>
    <t>1269</t>
  </si>
  <si>
    <t>Crosby Isd</t>
  </si>
  <si>
    <t>6348</t>
  </si>
  <si>
    <t>120</t>
  </si>
  <si>
    <t>Crowley Isd</t>
  </si>
  <si>
    <t>15886</t>
  </si>
  <si>
    <t>Cypress-Fairbanks Isd</t>
  </si>
  <si>
    <t>114899</t>
  </si>
  <si>
    <t>Dallas Isd</t>
  </si>
  <si>
    <t>145519</t>
  </si>
  <si>
    <t>Deer Park Isd</t>
  </si>
  <si>
    <t>12329</t>
  </si>
  <si>
    <t>Del Valle Isd</t>
  </si>
  <si>
    <t>10681</t>
  </si>
  <si>
    <t>Denton Isd</t>
  </si>
  <si>
    <t>30279</t>
  </si>
  <si>
    <t>Desoto Isd</t>
  </si>
  <si>
    <t>7904</t>
  </si>
  <si>
    <t>4/12/21</t>
  </si>
  <si>
    <t>Donna Isd</t>
  </si>
  <si>
    <t>13856</t>
  </si>
  <si>
    <t>4/1/21</t>
  </si>
  <si>
    <t>Draw Academy</t>
  </si>
  <si>
    <t>Duncanville Isd</t>
  </si>
  <si>
    <t>11773</t>
  </si>
  <si>
    <t>Eagle Mt-Saginaw Isd</t>
  </si>
  <si>
    <t>21327</t>
  </si>
  <si>
    <t>Eanes Isd</t>
  </si>
  <si>
    <t>7962</t>
  </si>
  <si>
    <t>East Central Isd</t>
  </si>
  <si>
    <t>9763</t>
  </si>
  <si>
    <t>East Fort Worth Montessori Academy</t>
  </si>
  <si>
    <t>193</t>
  </si>
  <si>
    <t>Edcouch-Elsa Isd</t>
  </si>
  <si>
    <t>4540</t>
  </si>
  <si>
    <t>Edgewood Isd</t>
  </si>
  <si>
    <t>7397</t>
  </si>
  <si>
    <t>Edinburg Cisd</t>
  </si>
  <si>
    <t>32840</t>
  </si>
  <si>
    <t>Education Center International Academy</t>
  </si>
  <si>
    <t>543</t>
  </si>
  <si>
    <t>El Paso Academy</t>
  </si>
  <si>
    <t>El Paso Isd</t>
  </si>
  <si>
    <t>50705</t>
  </si>
  <si>
    <t>El Paso Leadership Academy</t>
  </si>
  <si>
    <t>206</t>
  </si>
  <si>
    <t>Eleanor Kolitz Hebrew Language Academy</t>
  </si>
  <si>
    <t>466</t>
  </si>
  <si>
    <t>Etoile Academy Charter School</t>
  </si>
  <si>
    <t>Everman Isd</t>
  </si>
  <si>
    <t>5619</t>
  </si>
  <si>
    <t>Evolution Academy Charter School</t>
  </si>
  <si>
    <t>670</t>
  </si>
  <si>
    <t>Excel Academy</t>
  </si>
  <si>
    <t>Excellence In Leadership Academy</t>
  </si>
  <si>
    <t>Fabens Isd</t>
  </si>
  <si>
    <t>2048</t>
  </si>
  <si>
    <t>Farmersville Isd</t>
  </si>
  <si>
    <t>1882</t>
  </si>
  <si>
    <t>Fort Worth Academy Of Fine Arts</t>
  </si>
  <si>
    <t>630</t>
  </si>
  <si>
    <t>Fort Worth Isd</t>
  </si>
  <si>
    <t>77276</t>
  </si>
  <si>
    <t>Frisco Isd</t>
  </si>
  <si>
    <t>63505</t>
  </si>
  <si>
    <t>Ft Sam Houston Isd</t>
  </si>
  <si>
    <t>1491</t>
  </si>
  <si>
    <t>3057</t>
  </si>
  <si>
    <t>Galena Park Isd</t>
  </si>
  <si>
    <t>21919</t>
  </si>
  <si>
    <t>Garland Isd</t>
  </si>
  <si>
    <t>54097</t>
  </si>
  <si>
    <t>Gateway Charter Academy</t>
  </si>
  <si>
    <t>782</t>
  </si>
  <si>
    <t>George Gervin Academy</t>
  </si>
  <si>
    <t>867</t>
  </si>
  <si>
    <t>5/28/21</t>
  </si>
  <si>
    <t>George I Sanchez Charter</t>
  </si>
  <si>
    <t>987</t>
  </si>
  <si>
    <t>Golden Rule Charter School</t>
  </si>
  <si>
    <t>1502</t>
  </si>
  <si>
    <t>Goose Creek Cisd</t>
  </si>
  <si>
    <t>23287</t>
  </si>
  <si>
    <t>Grand Prairie Isd</t>
  </si>
  <si>
    <t>27935</t>
  </si>
  <si>
    <t>8/13/20</t>
  </si>
  <si>
    <t>Grapevine-Colleyville Isd</t>
  </si>
  <si>
    <t>13910</t>
  </si>
  <si>
    <t>Great Hearts Texas</t>
  </si>
  <si>
    <t>6637</t>
  </si>
  <si>
    <t>Harlandale Isd</t>
  </si>
  <si>
    <t>12459</t>
  </si>
  <si>
    <t>Harmony School Of Excellence</t>
  </si>
  <si>
    <t>5999</t>
  </si>
  <si>
    <t>Harmony School Of Science - Houston</t>
  </si>
  <si>
    <t>3986</t>
  </si>
  <si>
    <t>Harmony Science Acad (El Paso)</t>
  </si>
  <si>
    <t>4144</t>
  </si>
  <si>
    <t>Harmony Science Acad (San Antonio)</t>
  </si>
  <si>
    <t>4440</t>
  </si>
  <si>
    <t>Harmony Science Academy</t>
  </si>
  <si>
    <t>3669</t>
  </si>
  <si>
    <t>Harmony Science Academy (Austin)</t>
  </si>
  <si>
    <t>4522</t>
  </si>
  <si>
    <t>Henry Ford Academy Alameda School For Art + Design</t>
  </si>
  <si>
    <t>102</t>
  </si>
  <si>
    <t>Heritage Academy</t>
  </si>
  <si>
    <t>627</t>
  </si>
  <si>
    <t>Hidalgo Isd</t>
  </si>
  <si>
    <t>2992</t>
  </si>
  <si>
    <t>Highland Park Isd</t>
  </si>
  <si>
    <t>6648</t>
  </si>
  <si>
    <t>Horizon Montessori Public Schools</t>
  </si>
  <si>
    <t>1266</t>
  </si>
  <si>
    <t>Houston Gateway Academy Inc</t>
  </si>
  <si>
    <t>2100</t>
  </si>
  <si>
    <t>Houston Heights High School</t>
  </si>
  <si>
    <t>172</t>
  </si>
  <si>
    <t>Houston Isd</t>
  </si>
  <si>
    <t>197154</t>
  </si>
  <si>
    <t>Huffman Isd</t>
  </si>
  <si>
    <t>3437</t>
  </si>
  <si>
    <t>Humble Isd</t>
  </si>
  <si>
    <t>45525</t>
  </si>
  <si>
    <t>Hurst-Euless-Bedford Isd</t>
  </si>
  <si>
    <t>22971</t>
  </si>
  <si>
    <t>Idea Public Schools</t>
  </si>
  <si>
    <t>62247</t>
  </si>
  <si>
    <t>Imagine International Academy Of North Texas</t>
  </si>
  <si>
    <t>1427</t>
  </si>
  <si>
    <t>Inspire Academies</t>
  </si>
  <si>
    <t>560</t>
  </si>
  <si>
    <t>Inspired Vision Academy</t>
  </si>
  <si>
    <t>1290</t>
  </si>
  <si>
    <t>International Leadership Of Texas (Iltexas)</t>
  </si>
  <si>
    <t>20864</t>
  </si>
  <si>
    <t>Irving Isd</t>
  </si>
  <si>
    <t>32709</t>
  </si>
  <si>
    <t>616</t>
  </si>
  <si>
    <t>176</t>
  </si>
  <si>
    <t>Jean Massieu Academy</t>
  </si>
  <si>
    <t>196</t>
  </si>
  <si>
    <t>Jubilee Academies</t>
  </si>
  <si>
    <t>6166</t>
  </si>
  <si>
    <t>Judson Isd</t>
  </si>
  <si>
    <t>23792</t>
  </si>
  <si>
    <t>Katy Isd</t>
  </si>
  <si>
    <t>84450</t>
  </si>
  <si>
    <t>Keller Isd</t>
  </si>
  <si>
    <t>31935</t>
  </si>
  <si>
    <t>119</t>
  </si>
  <si>
    <t>Kennedale Isd</t>
  </si>
  <si>
    <t>2881</t>
  </si>
  <si>
    <t>Kipp Texas Public Schools</t>
  </si>
  <si>
    <t>31243</t>
  </si>
  <si>
    <t>Klein Isd</t>
  </si>
  <si>
    <t>52827</t>
  </si>
  <si>
    <t>Krum Isd</t>
  </si>
  <si>
    <t>2102</t>
  </si>
  <si>
    <t>La Academia De Estrellas</t>
  </si>
  <si>
    <t>1018</t>
  </si>
  <si>
    <t>La Fe Preparatory School</t>
  </si>
  <si>
    <t>179</t>
  </si>
  <si>
    <t>La Joya Isd</t>
  </si>
  <si>
    <t>26633</t>
  </si>
  <si>
    <t>La Porte Isd</t>
  </si>
  <si>
    <t>7002</t>
  </si>
  <si>
    <t>La Villa Isd</t>
  </si>
  <si>
    <t>597</t>
  </si>
  <si>
    <t>Lackland Isd</t>
  </si>
  <si>
    <t>888</t>
  </si>
  <si>
    <t>Lago Vista Isd</t>
  </si>
  <si>
    <t>1615</t>
  </si>
  <si>
    <t>Lake Dallas Isd</t>
  </si>
  <si>
    <t>3874</t>
  </si>
  <si>
    <t>Lake Travis Isd</t>
  </si>
  <si>
    <t>11009</t>
  </si>
  <si>
    <t>Lake Worth Isd</t>
  </si>
  <si>
    <t>3308</t>
  </si>
  <si>
    <t>Lancaster Isd</t>
  </si>
  <si>
    <t>7190</t>
  </si>
  <si>
    <t>Leadership Prep School</t>
  </si>
  <si>
    <t>1299</t>
  </si>
  <si>
    <t>286</t>
  </si>
  <si>
    <t>Legacy Preparatory</t>
  </si>
  <si>
    <t>Legacy School Of Sport Sciences</t>
  </si>
  <si>
    <t>392</t>
  </si>
  <si>
    <t>Lewisville Isd</t>
  </si>
  <si>
    <t>49360</t>
  </si>
  <si>
    <t>Life School</t>
  </si>
  <si>
    <t>5550</t>
  </si>
  <si>
    <t>Lighthouse Charter School</t>
  </si>
  <si>
    <t>15</t>
  </si>
  <si>
    <t>489</t>
  </si>
  <si>
    <t>Little Elm Isd</t>
  </si>
  <si>
    <t>8095</t>
  </si>
  <si>
    <t>Lone Star Language Academy</t>
  </si>
  <si>
    <t>Lovejoy Isd</t>
  </si>
  <si>
    <t>4204</t>
  </si>
  <si>
    <t>Manara Academy</t>
  </si>
  <si>
    <t>644</t>
  </si>
  <si>
    <t>Manor Isd</t>
  </si>
  <si>
    <t>9296</t>
  </si>
  <si>
    <t>Mansfield Isd</t>
  </si>
  <si>
    <t>35191</t>
  </si>
  <si>
    <t>Mcallen Isd</t>
  </si>
  <si>
    <t>21609</t>
  </si>
  <si>
    <t>Mckinney Isd</t>
  </si>
  <si>
    <t>22707</t>
  </si>
  <si>
    <t>Melissa Isd</t>
  </si>
  <si>
    <t>4040</t>
  </si>
  <si>
    <t>Mercedes Isd</t>
  </si>
  <si>
    <t>4727</t>
  </si>
  <si>
    <t>Mesquite Isd</t>
  </si>
  <si>
    <t>38524</t>
  </si>
  <si>
    <t>Meyerpark Elementary</t>
  </si>
  <si>
    <t>262</t>
  </si>
  <si>
    <t>1587</t>
  </si>
  <si>
    <t>Mission Cisd</t>
  </si>
  <si>
    <t>15064</t>
  </si>
  <si>
    <t>Monte Alto Isd</t>
  </si>
  <si>
    <t>889</t>
  </si>
  <si>
    <t>Montessori For All</t>
  </si>
  <si>
    <t>446</t>
  </si>
  <si>
    <t>185</t>
  </si>
  <si>
    <t>New Frontiers Public Schools Inc</t>
  </si>
  <si>
    <t>504</t>
  </si>
  <si>
    <t>Newman International Academy Of Arlington</t>
  </si>
  <si>
    <t>North East Isd</t>
  </si>
  <si>
    <t>60400</t>
  </si>
  <si>
    <t>North Texas Collegiate Academy</t>
  </si>
  <si>
    <t>Northside Isd</t>
  </si>
  <si>
    <t>103188</t>
  </si>
  <si>
    <t>Northwest Isd</t>
  </si>
  <si>
    <t>25305</t>
  </si>
  <si>
    <t>Nova Academy</t>
  </si>
  <si>
    <t>121</t>
  </si>
  <si>
    <t>Nova Academy Southeast</t>
  </si>
  <si>
    <t>608</t>
  </si>
  <si>
    <t>Nyos Charter School</t>
  </si>
  <si>
    <t>1078</t>
  </si>
  <si>
    <t>Pasadena Isd</t>
  </si>
  <si>
    <t>50622</t>
  </si>
  <si>
    <t>Pegasus School Of Liberal Arts And Sciences</t>
  </si>
  <si>
    <t>506</t>
  </si>
  <si>
    <t>Pflugerville Isd</t>
  </si>
  <si>
    <t>25551</t>
  </si>
  <si>
    <t>Pharr-San Juan-Alamo Isd</t>
  </si>
  <si>
    <t>30326</t>
  </si>
  <si>
    <t>Pilot Point Isd</t>
  </si>
  <si>
    <t>1418</t>
  </si>
  <si>
    <t>Pioneer Technology &amp; Arts Academy</t>
  </si>
  <si>
    <t>1678</t>
  </si>
  <si>
    <t>Plano Isd</t>
  </si>
  <si>
    <t>50167</t>
  </si>
  <si>
    <t>Ponder Isd</t>
  </si>
  <si>
    <t>Por Vida Academy</t>
  </si>
  <si>
    <t>Positive Solutions Charter School</t>
  </si>
  <si>
    <t>Princeton Isd</t>
  </si>
  <si>
    <t>5853</t>
  </si>
  <si>
    <t>850</t>
  </si>
  <si>
    <t>Progreso Isd</t>
  </si>
  <si>
    <t>1549</t>
  </si>
  <si>
    <t>Promesa Public Schools</t>
  </si>
  <si>
    <t>991</t>
  </si>
  <si>
    <t>Promise Community School</t>
  </si>
  <si>
    <t>1451</t>
  </si>
  <si>
    <t>Prosper Isd</t>
  </si>
  <si>
    <t>19145</t>
  </si>
  <si>
    <t>Randolph Field Isd</t>
  </si>
  <si>
    <t>Raul Yzaguirre Schools For Success</t>
  </si>
  <si>
    <t>1332</t>
  </si>
  <si>
    <t>Reve Preparatory Charter School</t>
  </si>
  <si>
    <t>Richardson Isd</t>
  </si>
  <si>
    <t>37824</t>
  </si>
  <si>
    <t>Richland Collegiate High School</t>
  </si>
  <si>
    <t>498</t>
  </si>
  <si>
    <t>San Antonio Isd</t>
  </si>
  <si>
    <t>45857</t>
  </si>
  <si>
    <t>San Elizario Isd</t>
  </si>
  <si>
    <t>3195</t>
  </si>
  <si>
    <t>Sanger Isd</t>
  </si>
  <si>
    <t>2560</t>
  </si>
  <si>
    <t>School Of Excellence In Education</t>
  </si>
  <si>
    <t>354</t>
  </si>
  <si>
    <t>School Of Science And Technology</t>
  </si>
  <si>
    <t>3277</t>
  </si>
  <si>
    <t>School Of Science And Technology Discovery</t>
  </si>
  <si>
    <t>4808</t>
  </si>
  <si>
    <t>Ser-Ninos Charter School</t>
  </si>
  <si>
    <t>Sharyland Isd</t>
  </si>
  <si>
    <t>Sheldon Isd</t>
  </si>
  <si>
    <t>10215</t>
  </si>
  <si>
    <t>Socorro Isd</t>
  </si>
  <si>
    <t>47087</t>
  </si>
  <si>
    <t>Somerset Isd</t>
  </si>
  <si>
    <t>4024</t>
  </si>
  <si>
    <t>South San Antonio Isd</t>
  </si>
  <si>
    <t>8256</t>
  </si>
  <si>
    <t>Southside Isd</t>
  </si>
  <si>
    <t>4832</t>
  </si>
  <si>
    <t>Southwest Isd</t>
  </si>
  <si>
    <t>13458</t>
  </si>
  <si>
    <t>Southwest Preparatory School</t>
  </si>
  <si>
    <t>Southwest School</t>
  </si>
  <si>
    <t>1715</t>
  </si>
  <si>
    <t>Spring Branch Isd</t>
  </si>
  <si>
    <t>33427</t>
  </si>
  <si>
    <t>Spring Isd</t>
  </si>
  <si>
    <t>33599</t>
  </si>
  <si>
    <t>St Anthony School</t>
  </si>
  <si>
    <t>391</t>
  </si>
  <si>
    <t>Step Charter School</t>
  </si>
  <si>
    <t>Sunnyvale Isd</t>
  </si>
  <si>
    <t>2025</t>
  </si>
  <si>
    <t>Texans Can Academies</t>
  </si>
  <si>
    <t>4687</t>
  </si>
  <si>
    <t>Texas Empowerment Academy</t>
  </si>
  <si>
    <t>361</t>
  </si>
  <si>
    <t>Texas Sch For The Blind &amp; Visually Impaired</t>
  </si>
  <si>
    <t>State-operated agency</t>
  </si>
  <si>
    <t>126</t>
  </si>
  <si>
    <t>Texas School Of The Arts</t>
  </si>
  <si>
    <t>The Excel Center (For Adults)</t>
  </si>
  <si>
    <t>839</t>
  </si>
  <si>
    <t>The Lawson Academy</t>
  </si>
  <si>
    <t>The Pro-Vision Academy</t>
  </si>
  <si>
    <t>429</t>
  </si>
  <si>
    <t>The Rhodes School</t>
  </si>
  <si>
    <t>721</t>
  </si>
  <si>
    <t>The Varnett Public School</t>
  </si>
  <si>
    <t>1366</t>
  </si>
  <si>
    <t>Tomball Isd</t>
  </si>
  <si>
    <t>18668</t>
  </si>
  <si>
    <t>Tornillo Isd</t>
  </si>
  <si>
    <t>915</t>
  </si>
  <si>
    <t>Treetops School International</t>
  </si>
  <si>
    <t>Trinity Basin Preparatory</t>
  </si>
  <si>
    <t>4191</t>
  </si>
  <si>
    <t>Triumph Public High Schools-El Paso</t>
  </si>
  <si>
    <t>Triumph Public High Schools-Rio Grande Valley</t>
  </si>
  <si>
    <t>Trivium Academy</t>
  </si>
  <si>
    <t>598</t>
  </si>
  <si>
    <t>Two Dimensions Preparatory Academy</t>
  </si>
  <si>
    <t>Ume Preparatory Academy</t>
  </si>
  <si>
    <t>1270</t>
  </si>
  <si>
    <t>Universal Academy</t>
  </si>
  <si>
    <t>2399</t>
  </si>
  <si>
    <t>University Of Texas At Austin H S</t>
  </si>
  <si>
    <t>373</t>
  </si>
  <si>
    <t>University Of Texas Elementary Charter School</t>
  </si>
  <si>
    <t>University Of Texas University Charter School</t>
  </si>
  <si>
    <t>646</t>
  </si>
  <si>
    <t>Uplift Education</t>
  </si>
  <si>
    <t>22558</t>
  </si>
  <si>
    <t>Valley View Isd</t>
  </si>
  <si>
    <t>4114</t>
  </si>
  <si>
    <t>Valor Public Schools</t>
  </si>
  <si>
    <t>1092</t>
  </si>
  <si>
    <t>Vanguard Academy</t>
  </si>
  <si>
    <t>4906</t>
  </si>
  <si>
    <t>Village Tech Schools</t>
  </si>
  <si>
    <t>1204</t>
  </si>
  <si>
    <t>Vista Del Futuro Charter School</t>
  </si>
  <si>
    <t>Wayside Schools</t>
  </si>
  <si>
    <t>1872</t>
  </si>
  <si>
    <t>Weslaco Isd</t>
  </si>
  <si>
    <t>16571</t>
  </si>
  <si>
    <t>Westlake Academy Charter School</t>
  </si>
  <si>
    <t>865</t>
  </si>
  <si>
    <t>White Settlement Isd</t>
  </si>
  <si>
    <t>6552</t>
  </si>
  <si>
    <t>Winfree Academy Charter Schools</t>
  </si>
  <si>
    <t>Wylie Isd</t>
  </si>
  <si>
    <t>17522</t>
  </si>
  <si>
    <t>Yellowstone College Preparatory</t>
  </si>
  <si>
    <t>Yes Prep Public Schools Inc</t>
  </si>
  <si>
    <t>13465</t>
  </si>
  <si>
    <t>Ysleta Isd</t>
  </si>
  <si>
    <t>38384</t>
  </si>
  <si>
    <t>all data rows by district</t>
  </si>
  <si>
    <t>County</t>
  </si>
  <si>
    <t>NCES District ID</t>
  </si>
  <si>
    <t>County Name</t>
  </si>
  <si>
    <t>District Number</t>
  </si>
  <si>
    <t>District Name</t>
  </si>
  <si>
    <t>District Type</t>
  </si>
  <si>
    <t>BEXAR COUNTY</t>
  </si>
  <si>
    <t>POR VIDA ACADEMY</t>
  </si>
  <si>
    <t>CHARTER</t>
  </si>
  <si>
    <t>GEORGE GERVIN ACADEMY</t>
  </si>
  <si>
    <t>NEW FRONTIERS PUBLIC SCHOOLS INC</t>
  </si>
  <si>
    <t>LEGACY TRADITIONAL SCHOOLS - TEXAS</t>
  </si>
  <si>
    <t>SOUTHWEST PREPARATORY SCHOOL</t>
  </si>
  <si>
    <t>INSPIRE ACADEMIES</t>
  </si>
  <si>
    <t>BEXAR COUNTY ACADEMY</t>
  </si>
  <si>
    <t>POSITIVE SOLUTIONS CHARTER SCHOOL</t>
  </si>
  <si>
    <t>HERITAGE ACADEMY</t>
  </si>
  <si>
    <t>JUBILEE ACADEMIES</t>
  </si>
  <si>
    <t>LIGHTHOUSE PUBLIC SCHOOLS</t>
  </si>
  <si>
    <t>SCHOOL OF SCIENCE AND TECHNOLOGY</t>
  </si>
  <si>
    <t>HARMONY PUBLIC SCHOOLS - SOUTH TEXAS</t>
  </si>
  <si>
    <t>SOMERSET ACADEMIES OF TEXAS</t>
  </si>
  <si>
    <t>SCHOOL OF SCIENCE AND TECHNOLOGY DISCOVERY</t>
  </si>
  <si>
    <t>HENRY FORD ACADEMY ALAMEDA SCHOOL FOR ART + DESIGN</t>
  </si>
  <si>
    <t>BASIS TEXAS</t>
  </si>
  <si>
    <t>GREAT HEARTS TEXAS</t>
  </si>
  <si>
    <t>ELEANOR KOLITZ HEBREW LANGUAGE ACADEMY</t>
  </si>
  <si>
    <t>COMPASS ROSE PUBLIC SCHOOLS</t>
  </si>
  <si>
    <t>PROMESA ACADEMY CHARTER SCHOOL</t>
  </si>
  <si>
    <t>SAN ANTONIO STEAM ACADEMY</t>
  </si>
  <si>
    <t>THE GATHERING PLACE</t>
  </si>
  <si>
    <t>ROYAL PUBLIC SCHOOLS</t>
  </si>
  <si>
    <t>PRELUDE PREPARATORY CHARTER SCHOOL</t>
  </si>
  <si>
    <t>ESSENCE PREPARATORY CHARTER SCHOOL</t>
  </si>
  <si>
    <t>CELEBRATE DYSLEXIA SCHOOLS</t>
  </si>
  <si>
    <t>ALAMO HEIGHTS ISD</t>
  </si>
  <si>
    <t>INDEPENDENT</t>
  </si>
  <si>
    <t>HARLANDALE ISD</t>
  </si>
  <si>
    <t>EDGEWOOD ISD</t>
  </si>
  <si>
    <t>RANDOLPH FIELD ISD</t>
  </si>
  <si>
    <t>SAN ANTONIO ISD</t>
  </si>
  <si>
    <t>SOUTH SAN ANTONIO ISD</t>
  </si>
  <si>
    <t>SOMERSET ISD</t>
  </si>
  <si>
    <t>NORTH EAST ISD</t>
  </si>
  <si>
    <t>EAST CENTRAL ISD</t>
  </si>
  <si>
    <t>SOUTHWEST ISD</t>
  </si>
  <si>
    <t>LACKLAND ISD</t>
  </si>
  <si>
    <t>FT SAM HOUSTON ISD</t>
  </si>
  <si>
    <t>NORTHSIDE ISD</t>
  </si>
  <si>
    <t>JUDSON ISD</t>
  </si>
  <si>
    <t>SOUTHSIDE ISD</t>
  </si>
  <si>
    <t>COLLIN COUNTY</t>
  </si>
  <si>
    <t>IMAGINE INTERNATIONAL ACADEMY OF NORTH TEXAS</t>
  </si>
  <si>
    <t>IMAGINE LONE STAR INTERNATIONAL ACADEMY</t>
  </si>
  <si>
    <t>ALLEN ISD</t>
  </si>
  <si>
    <t>ANNA ISD</t>
  </si>
  <si>
    <t>CELINA ISD</t>
  </si>
  <si>
    <t>FARMERSVILLE ISD</t>
  </si>
  <si>
    <t>FRISCO ISD</t>
  </si>
  <si>
    <t>MCKINNEY ISD</t>
  </si>
  <si>
    <t>MELISSA ISD</t>
  </si>
  <si>
    <t>PLANO ISD</t>
  </si>
  <si>
    <t>PRINCETON ISD</t>
  </si>
  <si>
    <t>PROSPER ISD</t>
  </si>
  <si>
    <t>WYLIE ISD</t>
  </si>
  <si>
    <t>BLUE RIDGE ISD</t>
  </si>
  <si>
    <t>COMMUNITY ISD</t>
  </si>
  <si>
    <t>LOVEJOY ISD</t>
  </si>
  <si>
    <t>DALLAS COUNTY</t>
  </si>
  <si>
    <t>PEGASUS SCHOOL OF LIBERAL ARTS AND SCIENCES</t>
  </si>
  <si>
    <t>UPLIFT EDUCATION</t>
  </si>
  <si>
    <t>TEXANS CAN ACADEMIES</t>
  </si>
  <si>
    <t>ADVANTAGE ACADEMY</t>
  </si>
  <si>
    <t>LIFE SCHOOL</t>
  </si>
  <si>
    <t>UNIVERSAL ACADEMY</t>
  </si>
  <si>
    <t>NOVA ACADEMY</t>
  </si>
  <si>
    <t>ACADEMY OF DALLAS</t>
  </si>
  <si>
    <t>TRINITY BASIN PREPARATORY</t>
  </si>
  <si>
    <t>ACADEMY FOR ACADEMIC EXCELLENCE</t>
  </si>
  <si>
    <t>JEAN MASSIEU ACADEMY</t>
  </si>
  <si>
    <t>NOVA ACADEMY SOUTHEAST</t>
  </si>
  <si>
    <t>WINFREE ACADEMY CHARTER SCHOOLS</t>
  </si>
  <si>
    <t>A+ ACADEMY</t>
  </si>
  <si>
    <t>INSPIRED VISION ACADEMY</t>
  </si>
  <si>
    <t>GATEWAY CHARTER ACADEMY</t>
  </si>
  <si>
    <t>EDUCATION CENTER INTERNATIONAL ACADEMY</t>
  </si>
  <si>
    <t>EVOLUTION ACADEMY CHARTER SCHOOL</t>
  </si>
  <si>
    <t>GOLDEN RULE CHARTER SCHOOL</t>
  </si>
  <si>
    <t>ST ANTHONY SCHOOL</t>
  </si>
  <si>
    <t>LA ACADEMIA DE ESTRELLAS</t>
  </si>
  <si>
    <t>RICHLAND COLLEGIATE HIGH SCHOOL</t>
  </si>
  <si>
    <t>CITYSCAPE SCHOOLS</t>
  </si>
  <si>
    <t>MANARA ACADEMY</t>
  </si>
  <si>
    <t>UME PREPARATORY ACADEMY</t>
  </si>
  <si>
    <t>LEGACY PREPARATORY</t>
  </si>
  <si>
    <t>VILLAGE TECH SCHOOLS</t>
  </si>
  <si>
    <t>INTERNATIONAL LEADERSHIP OF TEXAS (ILTEXAS)</t>
  </si>
  <si>
    <t>PIONEER TECHNOLOGY &amp; ARTS ACADEMY</t>
  </si>
  <si>
    <t>BRIDGEWAY PREPARATORY ACADEMY</t>
  </si>
  <si>
    <t>CARROLLTON-FARMERS BRANCH ISD</t>
  </si>
  <si>
    <t>CEDAR HILL ISD</t>
  </si>
  <si>
    <t>DALLAS ISD</t>
  </si>
  <si>
    <t>DESOTO ISD</t>
  </si>
  <si>
    <t>DUNCANVILLE ISD</t>
  </si>
  <si>
    <t>GARLAND ISD</t>
  </si>
  <si>
    <t>GRAND PRAIRIE ISD</t>
  </si>
  <si>
    <t>HIGHLAND PARK ISD</t>
  </si>
  <si>
    <t>IRVING ISD</t>
  </si>
  <si>
    <t>LANCASTER ISD</t>
  </si>
  <si>
    <t>MESQUITE ISD</t>
  </si>
  <si>
    <t>RICHARDSON ISD</t>
  </si>
  <si>
    <t>SUNNYVALE ISD</t>
  </si>
  <si>
    <t>COPPELL ISD</t>
  </si>
  <si>
    <t>DENTON COUNTY</t>
  </si>
  <si>
    <t>UNIVERSITY OF NORTH TEXAS</t>
  </si>
  <si>
    <t>NORTH TEXAS COLLEGIATE ACADEMY</t>
  </si>
  <si>
    <t>LEADERSHIP PREP SCHOOL</t>
  </si>
  <si>
    <t>TRIVIUM ACADEMY</t>
  </si>
  <si>
    <t>TEXAS WORKS</t>
  </si>
  <si>
    <t>DENTON ISD</t>
  </si>
  <si>
    <t>LEWISVILLE ISD</t>
  </si>
  <si>
    <t>PILOT POINT ISD</t>
  </si>
  <si>
    <t>KRUM ISD</t>
  </si>
  <si>
    <t>PONDER ISD</t>
  </si>
  <si>
    <t>AUBREY ISD</t>
  </si>
  <si>
    <t>SANGER ISD</t>
  </si>
  <si>
    <t>ARGYLE ISD</t>
  </si>
  <si>
    <t>NORTHWEST ISD</t>
  </si>
  <si>
    <t>LAKE DALLAS ISD</t>
  </si>
  <si>
    <t>LITTLE ELM ISD</t>
  </si>
  <si>
    <t>EL PASO COUNTY</t>
  </si>
  <si>
    <t>BURNHAM WOOD CHARTER SCHOOL DISTRICT</t>
  </si>
  <si>
    <t>TRIUMPH PUBLIC HIGH SCHOOLS-WEST TEXAS</t>
  </si>
  <si>
    <t>EL PASO ACADEMY</t>
  </si>
  <si>
    <t>HARMONY PUBLIC SCHOOLS - WEST TEXAS</t>
  </si>
  <si>
    <t>LA FE PREPARATORY SCHOOL</t>
  </si>
  <si>
    <t>VISTA DEL FUTURO CHARTER SCHOOL</t>
  </si>
  <si>
    <t>EL PASO LEADERSHIP ACADEMY</t>
  </si>
  <si>
    <t>CLINT ISD</t>
  </si>
  <si>
    <t>EL PASO ISD</t>
  </si>
  <si>
    <t>FABENS ISD</t>
  </si>
  <si>
    <t>SAN ELIZARIO ISD</t>
  </si>
  <si>
    <t>YSLETA ISD</t>
  </si>
  <si>
    <t>ANTHONY ISD</t>
  </si>
  <si>
    <t>CANUTILLO ISD</t>
  </si>
  <si>
    <t>TORNILLO ISD</t>
  </si>
  <si>
    <t>SOCORRO ISD</t>
  </si>
  <si>
    <t>HARRIS COUNTY</t>
  </si>
  <si>
    <t>HARRIS COUNTY DEPT OF ED</t>
  </si>
  <si>
    <t>SER-NINOS CHARTER SCHOOL</t>
  </si>
  <si>
    <t>ARISTOI CLASSICAL ACADEMY</t>
  </si>
  <si>
    <t>GEORGE I SANCHEZ CHARTER</t>
  </si>
  <si>
    <t>RAUL YZAGUIRRE SCHOOLS FOR SUCCESS</t>
  </si>
  <si>
    <t>ACADEMY OF ACCELERATED LEARNING INC</t>
  </si>
  <si>
    <t>EXCEL ACADEMY</t>
  </si>
  <si>
    <t>THE VARNETT PUBLIC SCHOOL</t>
  </si>
  <si>
    <t>ALIEF MONTESSORI COMMUNITY SCHOOL</t>
  </si>
  <si>
    <t>AMIGOS POR VIDA-FRIENDS FOR LIFE PUB CHTR SCH</t>
  </si>
  <si>
    <t>HOUSTON HEIGHTS HIGH SCHOOL</t>
  </si>
  <si>
    <t>HOUSTON GATEWAY ACADEMY INC</t>
  </si>
  <si>
    <t>CALVIN NELMS CHARTER SCHOOLS</t>
  </si>
  <si>
    <t>SOUTHWEST PUBLIC SCHOOLS</t>
  </si>
  <si>
    <t>TWO DIMENSIONS PREPARATORY ACADEMY</t>
  </si>
  <si>
    <t>COMQUEST ACADEMY</t>
  </si>
  <si>
    <t>YES PREP PUBLIC SCHOOLS INC</t>
  </si>
  <si>
    <t>HARMONY PUBLIC SCHOOLS - HOUSTON SOUTH</t>
  </si>
  <si>
    <t>BEATRICE MAYES INSTITUTE CHARTER SCHOOL</t>
  </si>
  <si>
    <t>ACCELERATED INTERMEDIATE ACADEMY</t>
  </si>
  <si>
    <t>BAKERRIPLEY COMMUNITY SCHOOLS</t>
  </si>
  <si>
    <t>MEYERPARK CHARTER</t>
  </si>
  <si>
    <t>DRAW ACADEMY</t>
  </si>
  <si>
    <t>HARMONY PUBLIC SCHOOLS - HOUSTON NORTH</t>
  </si>
  <si>
    <t>STEP CHARTER SCHOOL</t>
  </si>
  <si>
    <t>THE RHODES SCHOOL FOR PERFORMING ARTS</t>
  </si>
  <si>
    <t>HARMONY PUBLIC SCHOOLS - HOUSTON WEST</t>
  </si>
  <si>
    <t>THE LAWSON ACADEMY</t>
  </si>
  <si>
    <t>THE PRO-VISION ACADEMY</t>
  </si>
  <si>
    <t>BETA ACADEMY</t>
  </si>
  <si>
    <t>A+ UNLIMITED POTENTIAL</t>
  </si>
  <si>
    <t>ETOILE ACADEMY CHARTER SCHOOL</t>
  </si>
  <si>
    <t>YELLOWSTONE COLLEGE PREPARATORY</t>
  </si>
  <si>
    <t>LEGACY SCHOOL OF SPORT SCIENCES</t>
  </si>
  <si>
    <t>BLOOM ACADEMY CHARTER SCHOOL</t>
  </si>
  <si>
    <t>REVE PREPARATORY CHARTER SCHOOL</t>
  </si>
  <si>
    <t>ELEVATE COLLEGIATE CHARTER SCHOOL</t>
  </si>
  <si>
    <t>HOUSTON CLASSICAL CHARTER SCHOOL</t>
  </si>
  <si>
    <t>HERITAGE CLASSICAL ACADEMY</t>
  </si>
  <si>
    <t>NEXTGEN INNOVATION ACADEMY</t>
  </si>
  <si>
    <t>UP EXCELLENCE ACADEMY</t>
  </si>
  <si>
    <t>ALDINE ISD</t>
  </si>
  <si>
    <t>ALIEF ISD</t>
  </si>
  <si>
    <t>CHANNELVIEW ISD</t>
  </si>
  <si>
    <t>CROSBY ISD</t>
  </si>
  <si>
    <t>CYPRESS-FAIRBANKS ISD</t>
  </si>
  <si>
    <t>DEER PARK ISD</t>
  </si>
  <si>
    <t>GALENA PARK ISD</t>
  </si>
  <si>
    <t>GOOSE CREEK CISD</t>
  </si>
  <si>
    <t>HOUSTON ISD</t>
  </si>
  <si>
    <t>HUMBLE ISD</t>
  </si>
  <si>
    <t>KATY ISD</t>
  </si>
  <si>
    <t>KLEIN ISD</t>
  </si>
  <si>
    <t>LA PORTE ISD</t>
  </si>
  <si>
    <t>PASADENA ISD</t>
  </si>
  <si>
    <t>SPRING ISD</t>
  </si>
  <si>
    <t>SPRING BRANCH ISD</t>
  </si>
  <si>
    <t>TOMBALL ISD</t>
  </si>
  <si>
    <t>SHELDON ISD</t>
  </si>
  <si>
    <t>HUFFMAN ISD</t>
  </si>
  <si>
    <t>HIDALGO COUNTY</t>
  </si>
  <si>
    <t>HORIZON MONTESSORI PUBLIC SCHOOLS</t>
  </si>
  <si>
    <t>TRIUMPH PUBLIC HIGH SCHOOLS-RIO GRANDE VALLEY</t>
  </si>
  <si>
    <t>IDEA PUBLIC SCHOOLS</t>
  </si>
  <si>
    <t>VANGUARD ACADEMY</t>
  </si>
  <si>
    <t>EXCELLENCE IN LEADERSHIP ACADEMY</t>
  </si>
  <si>
    <t>BRILLANTE ACADEMY</t>
  </si>
  <si>
    <t>DONNA ISD</t>
  </si>
  <si>
    <t>EDCOUCH-ELSA ISD</t>
  </si>
  <si>
    <t>EDINBURG CISD</t>
  </si>
  <si>
    <t>HIDALGO ISD</t>
  </si>
  <si>
    <t>MCALLEN ISD</t>
  </si>
  <si>
    <t>MERCEDES ISD</t>
  </si>
  <si>
    <t>MISSION CISD</t>
  </si>
  <si>
    <t>PHARR-SAN JUAN-ALAMO ISD</t>
  </si>
  <si>
    <t>PROGRESO ISD</t>
  </si>
  <si>
    <t>SHARYLAND ISD</t>
  </si>
  <si>
    <t>LA JOYA ISD</t>
  </si>
  <si>
    <t>WESLACO ISD</t>
  </si>
  <si>
    <t>LA VILLA ISD</t>
  </si>
  <si>
    <t>MONTE ALTO ISD</t>
  </si>
  <si>
    <t>VALLEY VIEW ISD</t>
  </si>
  <si>
    <t>TARRANT COUNTY</t>
  </si>
  <si>
    <t>TREETOPS SCHOOL INTERNATIONAL</t>
  </si>
  <si>
    <t>ARLINGTON CLASSICS ACADEMY</t>
  </si>
  <si>
    <t>FORT WORTH ACADEMY OF FINE ARTS</t>
  </si>
  <si>
    <t>WESTLAKE ACADEMY CHARTER SCHOOL</t>
  </si>
  <si>
    <t>EAST FORT WORTH MONTESSORI ACADEMY</t>
  </si>
  <si>
    <t>TEXAS SCHOOL OF THE ARTS</t>
  </si>
  <si>
    <t>NEWMAN INTERNATIONAL ACADEMY OF ARLINGTON</t>
  </si>
  <si>
    <t>ROCKETSHIP PUBLIC SCHOOLS</t>
  </si>
  <si>
    <t>ACADEMY OF VISUAL AND PERFORMING ARTS</t>
  </si>
  <si>
    <t>NEW HEIGHTS</t>
  </si>
  <si>
    <t>INFINITE MINDS</t>
  </si>
  <si>
    <t>ARLINGTON ISD</t>
  </si>
  <si>
    <t>BIRDVILLE ISD</t>
  </si>
  <si>
    <t>EVERMAN ISD</t>
  </si>
  <si>
    <t>FORT WORTH ISD</t>
  </si>
  <si>
    <t>GRAPEVINE-COLLEYVILLE ISD</t>
  </si>
  <si>
    <t>KELLER ISD</t>
  </si>
  <si>
    <t>MANSFIELD ISD</t>
  </si>
  <si>
    <t>LAKE WORTH ISD</t>
  </si>
  <si>
    <t>CROWLEY ISD</t>
  </si>
  <si>
    <t>KENNEDALE ISD</t>
  </si>
  <si>
    <t>AZLE ISD</t>
  </si>
  <si>
    <t>HURST-EULESS-BEDFORD ISD</t>
  </si>
  <si>
    <t>CASTLEBERRY ISD</t>
  </si>
  <si>
    <t>EAGLE MT-SAGINAW ISD</t>
  </si>
  <si>
    <t>CARROLL ISD</t>
  </si>
  <si>
    <t>WHITE SETTLEMENT ISD</t>
  </si>
  <si>
    <t>TRAVIS COUNTY</t>
  </si>
  <si>
    <t>UNIVERSITY OF TEXAS AT AUSTIN H S</t>
  </si>
  <si>
    <t>LONE STAR SCHOOL DISTRICT</t>
  </si>
  <si>
    <t>TJJD</t>
  </si>
  <si>
    <t>WAYSIDE SCHOOLS</t>
  </si>
  <si>
    <t>NYOS CHARTER SCHOOL</t>
  </si>
  <si>
    <t>TEXAS EMPOWERMENT ACADEMY</t>
  </si>
  <si>
    <t>UNIVERSITY OF TEXAS UNIVERSITY CHARTER SCHOOL</t>
  </si>
  <si>
    <t>CHAPARRAL STAR ACADEMY</t>
  </si>
  <si>
    <t>HARMONY PUBLIC SCHOOLS - CENTRAL TEXAS</t>
  </si>
  <si>
    <t>CEDARS INTERNATIONAL ACADEMY</t>
  </si>
  <si>
    <t>UNIVERSITY OF TEXAS ELEMENTARY CHARTER SCHOOL</t>
  </si>
  <si>
    <t>KIPP TEXAS PUBLIC SCHOOLS</t>
  </si>
  <si>
    <t>AUSTIN DISCOVERY SCHOOL</t>
  </si>
  <si>
    <t>VALERE PUBLIC SCHOOLS</t>
  </si>
  <si>
    <t>AUSTIN ACHIEVE PUBLIC SCHOOLS</t>
  </si>
  <si>
    <t>MONTESSORI FOR ALL</t>
  </si>
  <si>
    <t>THE EXCEL CENTER (FOR ADULTS)</t>
  </si>
  <si>
    <t>VALOR EDUCATION</t>
  </si>
  <si>
    <t>UNPARALLELED PREPARATORY ACADEMY</t>
  </si>
  <si>
    <t>AUSTIN ISD</t>
  </si>
  <si>
    <t>PFLUGERVILLE ISD</t>
  </si>
  <si>
    <t>TEXAS SCH FOR THE BLIND &amp; VISUALLY IMPAIRED</t>
  </si>
  <si>
    <t>TSD/TSBVI</t>
  </si>
  <si>
    <t>TEXAS SCH FOR THE DEAF</t>
  </si>
  <si>
    <t>MANOR ISD</t>
  </si>
  <si>
    <t>EANES ISD</t>
  </si>
  <si>
    <t>DEL VALLE ISD</t>
  </si>
  <si>
    <t>LAGO VISTA ISD</t>
  </si>
  <si>
    <t>LAKE TRAVIS ISD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</si>
</sst>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7"/>
  <sheetViews>
    <sheetView tabSelected="1" topLeftCell="B1" zoomScale="83" zoomScaleNormal="115" workbookViewId="0">
      <pane ySplit="1" topLeftCell="A2" activePane="bottomLeft" state="frozen"/>
      <selection pane="bottomLeft" activeCell="E2" sqref="E2"/>
    </sheetView>
  </sheetViews>
  <sheetFormatPr defaultColWidth="10.90625" defaultRowHeight="14.5" x14ac:dyDescent="0.35"/>
  <cols>
    <col min="2" max="2" width="46.36328125" bestFit="1" customWidth="1"/>
    <col min="4" max="4" width="15.36328125" style="1" bestFit="1" customWidth="1"/>
    <col min="5" max="5" width="16.90625" bestFit="1" customWidth="1"/>
    <col min="6" max="6" width="31.26953125" bestFit="1" customWidth="1"/>
    <col min="16" max="16" width="16.1796875" bestFit="1" customWidth="1"/>
  </cols>
  <sheetData>
    <row r="1" spans="1:16" x14ac:dyDescent="0.3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515</v>
      </c>
    </row>
    <row r="2" spans="1:16" x14ac:dyDescent="0.35">
      <c r="A2" t="s">
        <v>22</v>
      </c>
      <c r="B2" t="s">
        <v>69</v>
      </c>
      <c r="C2" t="s">
        <v>23</v>
      </c>
      <c r="D2">
        <v>4808940</v>
      </c>
      <c r="E2" t="s">
        <v>70</v>
      </c>
      <c r="P2" t="str">
        <f>VLOOKUP(D2,schools!A:B,2,FALSE)</f>
        <v>TRAVIS COUNTY</v>
      </c>
    </row>
    <row r="3" spans="1:16" x14ac:dyDescent="0.35">
      <c r="A3" t="s">
        <v>22</v>
      </c>
      <c r="B3" t="s">
        <v>146</v>
      </c>
      <c r="C3" t="s">
        <v>23</v>
      </c>
      <c r="D3">
        <v>4816620</v>
      </c>
      <c r="E3" t="s">
        <v>147</v>
      </c>
      <c r="P3" t="str">
        <f>VLOOKUP(D3,schools!A:B,2,FALSE)</f>
        <v>TRAVIS COUNTY</v>
      </c>
    </row>
    <row r="4" spans="1:16" x14ac:dyDescent="0.35">
      <c r="A4" t="s">
        <v>22</v>
      </c>
      <c r="B4" t="s">
        <v>161</v>
      </c>
      <c r="C4" t="s">
        <v>23</v>
      </c>
      <c r="D4">
        <v>4817760</v>
      </c>
      <c r="E4" t="s">
        <v>162</v>
      </c>
      <c r="P4" t="str">
        <f>VLOOKUP(D4,schools!A:B,2,FALSE)</f>
        <v>TRAVIS COUNTY</v>
      </c>
    </row>
    <row r="5" spans="1:16" x14ac:dyDescent="0.35">
      <c r="A5" t="s">
        <v>22</v>
      </c>
      <c r="B5" t="s">
        <v>305</v>
      </c>
      <c r="C5" t="s">
        <v>23</v>
      </c>
      <c r="D5">
        <v>4826400</v>
      </c>
      <c r="E5" t="s">
        <v>306</v>
      </c>
      <c r="P5" t="str">
        <f>VLOOKUP(D5,schools!A:B,2,FALSE)</f>
        <v>TRAVIS COUNTY</v>
      </c>
    </row>
    <row r="6" spans="1:16" x14ac:dyDescent="0.35">
      <c r="A6" t="s">
        <v>22</v>
      </c>
      <c r="B6" t="s">
        <v>309</v>
      </c>
      <c r="C6" t="s">
        <v>23</v>
      </c>
      <c r="D6">
        <v>4826470</v>
      </c>
      <c r="E6" t="s">
        <v>310</v>
      </c>
      <c r="P6" t="str">
        <f>VLOOKUP(D6,schools!A:B,2,FALSE)</f>
        <v>TRAVIS COUNTY</v>
      </c>
    </row>
    <row r="7" spans="1:16" x14ac:dyDescent="0.35">
      <c r="A7" t="s">
        <v>22</v>
      </c>
      <c r="B7" t="s">
        <v>335</v>
      </c>
      <c r="C7" t="s">
        <v>23</v>
      </c>
      <c r="D7">
        <v>4828890</v>
      </c>
      <c r="E7" t="s">
        <v>336</v>
      </c>
      <c r="P7" t="str">
        <f>VLOOKUP(D7,schools!A:B,2,FALSE)</f>
        <v>TRAVIS COUNTY</v>
      </c>
    </row>
    <row r="8" spans="1:16" x14ac:dyDescent="0.35">
      <c r="A8" t="s">
        <v>22</v>
      </c>
      <c r="B8" t="s">
        <v>379</v>
      </c>
      <c r="C8" t="s">
        <v>23</v>
      </c>
      <c r="D8">
        <v>4834830</v>
      </c>
      <c r="E8" t="s">
        <v>380</v>
      </c>
      <c r="P8" t="str">
        <f>VLOOKUP(D8,schools!A:B,2,FALSE)</f>
        <v>TRAVIS COUNTY</v>
      </c>
    </row>
    <row r="9" spans="1:16" x14ac:dyDescent="0.35">
      <c r="A9" t="s">
        <v>22</v>
      </c>
      <c r="B9" t="s">
        <v>453</v>
      </c>
      <c r="C9" t="s">
        <v>454</v>
      </c>
      <c r="D9">
        <v>4800252</v>
      </c>
      <c r="E9" t="s">
        <v>455</v>
      </c>
      <c r="F9" t="s">
        <v>17</v>
      </c>
      <c r="K9" t="s">
        <v>17</v>
      </c>
      <c r="P9" t="str">
        <f>VLOOKUP(D9,schools!A:B,2,FALSE)</f>
        <v>TRAVIS COUNTY</v>
      </c>
    </row>
    <row r="10" spans="1:16" x14ac:dyDescent="0.35">
      <c r="A10" t="s">
        <v>22</v>
      </c>
      <c r="B10" t="s">
        <v>482</v>
      </c>
      <c r="C10" t="s">
        <v>23</v>
      </c>
      <c r="D10">
        <v>4801473</v>
      </c>
      <c r="E10" t="s">
        <v>483</v>
      </c>
      <c r="F10" t="s">
        <v>24</v>
      </c>
      <c r="K10" t="s">
        <v>24</v>
      </c>
      <c r="P10" t="str">
        <f>VLOOKUP(D10,schools!A:B,2,FALSE)</f>
        <v>TRAVIS COUNTY</v>
      </c>
    </row>
    <row r="11" spans="1:16" x14ac:dyDescent="0.35">
      <c r="A11" t="s">
        <v>15</v>
      </c>
      <c r="B11" t="s">
        <v>65</v>
      </c>
      <c r="C11" t="s">
        <v>16</v>
      </c>
      <c r="D11">
        <v>4801431</v>
      </c>
      <c r="E11" t="s">
        <v>66</v>
      </c>
      <c r="F11" t="s">
        <v>17</v>
      </c>
      <c r="K11" t="s">
        <v>17</v>
      </c>
      <c r="P11" t="str">
        <f>VLOOKUP(D11,schools!A:B,2,FALSE)</f>
        <v>TRAVIS COUNTY</v>
      </c>
    </row>
    <row r="12" spans="1:16" x14ac:dyDescent="0.35">
      <c r="A12" t="s">
        <v>15</v>
      </c>
      <c r="B12" t="s">
        <v>67</v>
      </c>
      <c r="C12" t="s">
        <v>16</v>
      </c>
      <c r="D12">
        <v>4800265</v>
      </c>
      <c r="E12" t="s">
        <v>68</v>
      </c>
      <c r="P12" t="str">
        <f>VLOOKUP(D12,schools!A:B,2,FALSE)</f>
        <v>TRAVIS COUNTY</v>
      </c>
    </row>
    <row r="13" spans="1:16" x14ac:dyDescent="0.35">
      <c r="A13" t="s">
        <v>15</v>
      </c>
      <c r="B13" t="s">
        <v>115</v>
      </c>
      <c r="C13" t="s">
        <v>16</v>
      </c>
      <c r="D13">
        <v>4800232</v>
      </c>
      <c r="E13" t="s">
        <v>91</v>
      </c>
      <c r="F13" t="s">
        <v>17</v>
      </c>
      <c r="K13" t="s">
        <v>17</v>
      </c>
      <c r="P13" t="str">
        <f>VLOOKUP(D13,schools!A:B,2,FALSE)</f>
        <v>TRAVIS COUNTY</v>
      </c>
    </row>
    <row r="14" spans="1:16" x14ac:dyDescent="0.35">
      <c r="A14" t="s">
        <v>15</v>
      </c>
      <c r="B14" t="s">
        <v>120</v>
      </c>
      <c r="C14" t="s">
        <v>16</v>
      </c>
      <c r="D14">
        <v>4800064</v>
      </c>
      <c r="E14" t="s">
        <v>121</v>
      </c>
      <c r="P14" t="str">
        <f>VLOOKUP(D14,schools!A:B,2,FALSE)</f>
        <v>TRAVIS COUNTY</v>
      </c>
    </row>
    <row r="15" spans="1:16" x14ac:dyDescent="0.35">
      <c r="A15" t="s">
        <v>15</v>
      </c>
      <c r="B15" t="s">
        <v>236</v>
      </c>
      <c r="C15" t="s">
        <v>16</v>
      </c>
      <c r="D15">
        <v>4800241</v>
      </c>
      <c r="E15" t="s">
        <v>237</v>
      </c>
      <c r="P15" t="str">
        <f>VLOOKUP(D15,schools!A:B,2,FALSE)</f>
        <v>TRAVIS COUNTY</v>
      </c>
    </row>
    <row r="16" spans="1:16" x14ac:dyDescent="0.35">
      <c r="A16" t="s">
        <v>15</v>
      </c>
      <c r="B16" t="s">
        <v>287</v>
      </c>
      <c r="C16" t="s">
        <v>16</v>
      </c>
      <c r="D16">
        <v>4800264</v>
      </c>
      <c r="E16" t="s">
        <v>288</v>
      </c>
      <c r="F16" t="s">
        <v>17</v>
      </c>
      <c r="K16" t="s">
        <v>17</v>
      </c>
      <c r="P16" t="str">
        <f>VLOOKUP(D16,schools!A:B,2,FALSE)</f>
        <v>TRAVIS COUNTY</v>
      </c>
    </row>
    <row r="17" spans="1:16" x14ac:dyDescent="0.35">
      <c r="A17" t="s">
        <v>15</v>
      </c>
      <c r="B17" t="s">
        <v>356</v>
      </c>
      <c r="C17" t="s">
        <v>16</v>
      </c>
      <c r="D17">
        <v>4801442</v>
      </c>
      <c r="E17" t="s">
        <v>357</v>
      </c>
      <c r="F17" t="s">
        <v>17</v>
      </c>
      <c r="K17" t="s">
        <v>17</v>
      </c>
      <c r="P17" t="str">
        <f>VLOOKUP(D17,schools!A:B,2,FALSE)</f>
        <v>TRAVIS COUNTY</v>
      </c>
    </row>
    <row r="18" spans="1:16" x14ac:dyDescent="0.35">
      <c r="A18" t="s">
        <v>15</v>
      </c>
      <c r="B18" t="s">
        <v>373</v>
      </c>
      <c r="C18" t="s">
        <v>16</v>
      </c>
      <c r="D18">
        <v>4800058</v>
      </c>
      <c r="E18" t="s">
        <v>374</v>
      </c>
      <c r="P18" t="str">
        <f>VLOOKUP(D18,schools!A:B,2,FALSE)</f>
        <v>TRAVIS COUNTY</v>
      </c>
    </row>
    <row r="19" spans="1:16" x14ac:dyDescent="0.35">
      <c r="A19" t="s">
        <v>15</v>
      </c>
      <c r="B19" t="s">
        <v>397</v>
      </c>
      <c r="C19" t="s">
        <v>16</v>
      </c>
      <c r="D19">
        <v>4801414</v>
      </c>
      <c r="E19" t="s">
        <v>398</v>
      </c>
      <c r="P19" t="str">
        <f>VLOOKUP(D19,schools!A:B,2,FALSE)</f>
        <v>TRAVIS COUNTY</v>
      </c>
    </row>
    <row r="20" spans="1:16" x14ac:dyDescent="0.35">
      <c r="A20" t="s">
        <v>15</v>
      </c>
      <c r="B20" t="s">
        <v>451</v>
      </c>
      <c r="C20" t="s">
        <v>16</v>
      </c>
      <c r="D20">
        <v>4800066</v>
      </c>
      <c r="E20" t="s">
        <v>452</v>
      </c>
      <c r="P20" t="str">
        <f>VLOOKUP(D20,schools!A:B,2,FALSE)</f>
        <v>TRAVIS COUNTY</v>
      </c>
    </row>
    <row r="21" spans="1:16" x14ac:dyDescent="0.35">
      <c r="A21" t="s">
        <v>15</v>
      </c>
      <c r="B21" t="s">
        <v>457</v>
      </c>
      <c r="C21" t="s">
        <v>16</v>
      </c>
      <c r="D21">
        <v>4801448</v>
      </c>
      <c r="E21" t="s">
        <v>458</v>
      </c>
      <c r="P21" t="str">
        <f>VLOOKUP(D21,schools!A:B,2,FALSE)</f>
        <v>TRAVIS COUNTY</v>
      </c>
    </row>
    <row r="22" spans="1:16" x14ac:dyDescent="0.35">
      <c r="A22" t="s">
        <v>15</v>
      </c>
      <c r="B22" t="s">
        <v>484</v>
      </c>
      <c r="C22" t="s">
        <v>16</v>
      </c>
      <c r="D22">
        <v>4800251</v>
      </c>
      <c r="E22" t="s">
        <v>317</v>
      </c>
      <c r="P22" t="str">
        <f>VLOOKUP(D22,schools!A:B,2,FALSE)</f>
        <v>TRAVIS COUNTY</v>
      </c>
    </row>
    <row r="23" spans="1:16" x14ac:dyDescent="0.35">
      <c r="A23" t="s">
        <v>15</v>
      </c>
      <c r="B23" t="s">
        <v>485</v>
      </c>
      <c r="C23" t="s">
        <v>16</v>
      </c>
      <c r="D23">
        <v>4800071</v>
      </c>
      <c r="E23" t="s">
        <v>486</v>
      </c>
      <c r="F23" t="s">
        <v>17</v>
      </c>
      <c r="K23" t="s">
        <v>17</v>
      </c>
      <c r="P23" t="str">
        <f>VLOOKUP(D23,schools!A:B,2,FALSE)</f>
        <v>TRAVIS COUNTY</v>
      </c>
    </row>
    <row r="24" spans="1:16" x14ac:dyDescent="0.35">
      <c r="A24" t="s">
        <v>15</v>
      </c>
      <c r="B24" t="s">
        <v>491</v>
      </c>
      <c r="C24" t="s">
        <v>16</v>
      </c>
      <c r="D24">
        <v>4801461</v>
      </c>
      <c r="E24" t="s">
        <v>492</v>
      </c>
      <c r="P24" t="str">
        <f>VLOOKUP(D24,schools!A:B,2,FALSE)</f>
        <v>TRAVIS COUNTY</v>
      </c>
    </row>
    <row r="25" spans="1:16" x14ac:dyDescent="0.35">
      <c r="A25" t="s">
        <v>15</v>
      </c>
      <c r="B25" t="s">
        <v>498</v>
      </c>
      <c r="C25" t="s">
        <v>16</v>
      </c>
      <c r="D25">
        <v>4800044</v>
      </c>
      <c r="E25" t="s">
        <v>499</v>
      </c>
      <c r="P25" t="str">
        <f>VLOOKUP(D25,schools!A:B,2,FALSE)</f>
        <v>TRAVIS COUNTY</v>
      </c>
    </row>
    <row r="26" spans="1:16" x14ac:dyDescent="0.35">
      <c r="A26" t="s">
        <v>22</v>
      </c>
      <c r="B26" t="s">
        <v>60</v>
      </c>
      <c r="C26" t="s">
        <v>23</v>
      </c>
      <c r="D26">
        <v>4808700</v>
      </c>
      <c r="E26" t="s">
        <v>61</v>
      </c>
      <c r="P26" t="str">
        <f>VLOOKUP(D26,schools!A:B,2,FALSE)</f>
        <v>TARRANT COUNTY</v>
      </c>
    </row>
    <row r="27" spans="1:16" x14ac:dyDescent="0.35">
      <c r="A27" t="s">
        <v>22</v>
      </c>
      <c r="B27" t="s">
        <v>72</v>
      </c>
      <c r="C27" t="s">
        <v>23</v>
      </c>
      <c r="D27">
        <v>4809200</v>
      </c>
      <c r="E27" t="s">
        <v>73</v>
      </c>
      <c r="P27" t="str">
        <f>VLOOKUP(D27,schools!A:B,2,FALSE)</f>
        <v>TARRANT COUNTY</v>
      </c>
    </row>
    <row r="28" spans="1:16" x14ac:dyDescent="0.35">
      <c r="A28" t="s">
        <v>22</v>
      </c>
      <c r="B28" t="s">
        <v>82</v>
      </c>
      <c r="C28" t="s">
        <v>23</v>
      </c>
      <c r="D28">
        <v>4810230</v>
      </c>
      <c r="E28" t="s">
        <v>83</v>
      </c>
      <c r="P28" t="str">
        <f>VLOOKUP(D28,schools!A:B,2,FALSE)</f>
        <v>TARRANT COUNTY</v>
      </c>
    </row>
    <row r="29" spans="1:16" x14ac:dyDescent="0.35">
      <c r="A29" t="s">
        <v>22</v>
      </c>
      <c r="B29" t="s">
        <v>107</v>
      </c>
      <c r="C29" t="s">
        <v>23</v>
      </c>
      <c r="D29">
        <v>4813020</v>
      </c>
      <c r="E29" t="s">
        <v>108</v>
      </c>
      <c r="P29" t="str">
        <f>VLOOKUP(D29,schools!A:B,2,FALSE)</f>
        <v>TARRANT COUNTY</v>
      </c>
    </row>
    <row r="30" spans="1:16" x14ac:dyDescent="0.35">
      <c r="A30" t="s">
        <v>22</v>
      </c>
      <c r="B30" t="s">
        <v>111</v>
      </c>
      <c r="C30" t="s">
        <v>23</v>
      </c>
      <c r="D30">
        <v>4813170</v>
      </c>
      <c r="E30" t="s">
        <v>112</v>
      </c>
      <c r="P30" t="str">
        <f>VLOOKUP(D30,schools!A:B,2,FALSE)</f>
        <v>TARRANT COUNTY</v>
      </c>
    </row>
    <row r="31" spans="1:16" x14ac:dyDescent="0.35">
      <c r="A31" t="s">
        <v>22</v>
      </c>
      <c r="B31" t="s">
        <v>138</v>
      </c>
      <c r="C31" t="s">
        <v>23</v>
      </c>
      <c r="D31">
        <v>4815910</v>
      </c>
      <c r="E31" t="s">
        <v>139</v>
      </c>
      <c r="P31" t="str">
        <f>VLOOKUP(D31,schools!A:B,2,FALSE)</f>
        <v>TARRANT COUNTY</v>
      </c>
    </row>
    <row r="32" spans="1:16" x14ac:dyDescent="0.35">
      <c r="A32" t="s">
        <v>22</v>
      </c>
      <c r="B32" t="s">
        <v>159</v>
      </c>
      <c r="C32" t="s">
        <v>23</v>
      </c>
      <c r="D32">
        <v>4817700</v>
      </c>
      <c r="E32" t="s">
        <v>160</v>
      </c>
      <c r="F32" t="s">
        <v>17</v>
      </c>
      <c r="K32" t="s">
        <v>17</v>
      </c>
      <c r="P32" t="str">
        <f>VLOOKUP(D32,schools!A:B,2,FALSE)</f>
        <v>TARRANT COUNTY</v>
      </c>
    </row>
    <row r="33" spans="1:16" x14ac:dyDescent="0.35">
      <c r="A33" t="s">
        <v>22</v>
      </c>
      <c r="B33" t="s">
        <v>183</v>
      </c>
      <c r="C33" t="s">
        <v>23</v>
      </c>
      <c r="D33">
        <v>4818810</v>
      </c>
      <c r="E33" t="s">
        <v>184</v>
      </c>
      <c r="P33" t="str">
        <f>VLOOKUP(D33,schools!A:B,2,FALSE)</f>
        <v>TARRANT COUNTY</v>
      </c>
    </row>
    <row r="34" spans="1:16" x14ac:dyDescent="0.35">
      <c r="A34" t="s">
        <v>22</v>
      </c>
      <c r="B34" t="s">
        <v>195</v>
      </c>
      <c r="C34" t="s">
        <v>23</v>
      </c>
      <c r="D34">
        <v>4819700</v>
      </c>
      <c r="E34" t="s">
        <v>196</v>
      </c>
      <c r="F34" t="s">
        <v>24</v>
      </c>
      <c r="K34" t="s">
        <v>24</v>
      </c>
      <c r="P34" t="str">
        <f>VLOOKUP(D34,schools!A:B,2,FALSE)</f>
        <v>TARRANT COUNTY</v>
      </c>
    </row>
    <row r="35" spans="1:16" x14ac:dyDescent="0.35">
      <c r="A35" t="s">
        <v>22</v>
      </c>
      <c r="B35" t="s">
        <v>220</v>
      </c>
      <c r="C35" t="s">
        <v>23</v>
      </c>
      <c r="D35">
        <v>4821660</v>
      </c>
      <c r="E35" t="s">
        <v>221</v>
      </c>
      <c r="P35" t="str">
        <f>VLOOKUP(D35,schools!A:B,2,FALSE)</f>
        <v>TARRANT COUNTY</v>
      </c>
    </row>
    <row r="36" spans="1:16" x14ac:dyDescent="0.35">
      <c r="A36" t="s">
        <v>22</v>
      </c>
      <c r="B36" t="s">
        <v>258</v>
      </c>
      <c r="C36" t="s">
        <v>23</v>
      </c>
      <c r="D36">
        <v>4824060</v>
      </c>
      <c r="E36" t="s">
        <v>259</v>
      </c>
      <c r="P36" t="str">
        <f>VLOOKUP(D36,schools!A:B,2,FALSE)</f>
        <v>TARRANT COUNTY</v>
      </c>
    </row>
    <row r="37" spans="1:16" x14ac:dyDescent="0.35">
      <c r="A37" t="s">
        <v>22</v>
      </c>
      <c r="B37" t="s">
        <v>282</v>
      </c>
      <c r="C37" t="s">
        <v>23</v>
      </c>
      <c r="D37">
        <v>4825260</v>
      </c>
      <c r="E37" t="s">
        <v>283</v>
      </c>
      <c r="P37" t="str">
        <f>VLOOKUP(D37,schools!A:B,2,FALSE)</f>
        <v>TARRANT COUNTY</v>
      </c>
    </row>
    <row r="38" spans="1:16" x14ac:dyDescent="0.35">
      <c r="A38" t="s">
        <v>22</v>
      </c>
      <c r="B38" t="s">
        <v>285</v>
      </c>
      <c r="C38" t="s">
        <v>23</v>
      </c>
      <c r="D38">
        <v>4825500</v>
      </c>
      <c r="E38" t="s">
        <v>286</v>
      </c>
      <c r="F38" t="s">
        <v>17</v>
      </c>
      <c r="K38" t="s">
        <v>17</v>
      </c>
      <c r="P38" t="str">
        <f>VLOOKUP(D38,schools!A:B,2,FALSE)</f>
        <v>TARRANT COUNTY</v>
      </c>
    </row>
    <row r="39" spans="1:16" x14ac:dyDescent="0.35">
      <c r="A39" t="s">
        <v>22</v>
      </c>
      <c r="B39" t="s">
        <v>311</v>
      </c>
      <c r="C39" t="s">
        <v>23</v>
      </c>
      <c r="D39">
        <v>4826490</v>
      </c>
      <c r="E39" t="s">
        <v>312</v>
      </c>
      <c r="P39" t="str">
        <f>VLOOKUP(D39,schools!A:B,2,FALSE)</f>
        <v>TARRANT COUNTY</v>
      </c>
    </row>
    <row r="40" spans="1:16" x14ac:dyDescent="0.35">
      <c r="A40" t="s">
        <v>22</v>
      </c>
      <c r="B40" t="s">
        <v>337</v>
      </c>
      <c r="C40" t="s">
        <v>23</v>
      </c>
      <c r="D40">
        <v>4828920</v>
      </c>
      <c r="E40" t="s">
        <v>338</v>
      </c>
      <c r="P40" t="str">
        <f>VLOOKUP(D40,schools!A:B,2,FALSE)</f>
        <v>TARRANT COUNTY</v>
      </c>
    </row>
    <row r="41" spans="1:16" x14ac:dyDescent="0.35">
      <c r="A41" t="s">
        <v>22</v>
      </c>
      <c r="B41" t="s">
        <v>504</v>
      </c>
      <c r="C41" t="s">
        <v>23</v>
      </c>
      <c r="D41">
        <v>4845540</v>
      </c>
      <c r="E41" t="s">
        <v>505</v>
      </c>
      <c r="P41" t="str">
        <f>VLOOKUP(D41,schools!A:B,2,FALSE)</f>
        <v>TARRANT COUNTY</v>
      </c>
    </row>
    <row r="42" spans="1:16" x14ac:dyDescent="0.35">
      <c r="A42" t="s">
        <v>15</v>
      </c>
      <c r="B42" t="s">
        <v>58</v>
      </c>
      <c r="C42" t="s">
        <v>16</v>
      </c>
      <c r="D42">
        <v>4800158</v>
      </c>
      <c r="E42" t="s">
        <v>59</v>
      </c>
      <c r="P42" t="str">
        <f>VLOOKUP(D42,schools!A:B,2,FALSE)</f>
        <v>TARRANT COUNTY</v>
      </c>
    </row>
    <row r="43" spans="1:16" x14ac:dyDescent="0.35">
      <c r="A43" t="s">
        <v>15</v>
      </c>
      <c r="B43" t="s">
        <v>165</v>
      </c>
      <c r="C43" t="s">
        <v>16</v>
      </c>
      <c r="D43">
        <v>4800255</v>
      </c>
      <c r="E43" t="s">
        <v>166</v>
      </c>
      <c r="P43" t="str">
        <f>VLOOKUP(D43,schools!A:B,2,FALSE)</f>
        <v>TARRANT COUNTY</v>
      </c>
    </row>
    <row r="44" spans="1:16" x14ac:dyDescent="0.35">
      <c r="A44" t="s">
        <v>15</v>
      </c>
      <c r="B44" t="s">
        <v>193</v>
      </c>
      <c r="C44" t="s">
        <v>16</v>
      </c>
      <c r="D44">
        <v>4800231</v>
      </c>
      <c r="E44" t="s">
        <v>194</v>
      </c>
      <c r="P44" t="str">
        <f>VLOOKUP(D44,schools!A:B,2,FALSE)</f>
        <v>TARRANT COUNTY</v>
      </c>
    </row>
    <row r="45" spans="1:16" x14ac:dyDescent="0.35">
      <c r="A45" t="s">
        <v>15</v>
      </c>
      <c r="B45" t="s">
        <v>361</v>
      </c>
      <c r="C45" t="s">
        <v>16</v>
      </c>
      <c r="D45">
        <v>4801421</v>
      </c>
      <c r="E45" t="s">
        <v>201</v>
      </c>
      <c r="P45" t="str">
        <f>VLOOKUP(D45,schools!A:B,2,FALSE)</f>
        <v>TARRANT COUNTY</v>
      </c>
    </row>
    <row r="46" spans="1:16" x14ac:dyDescent="0.35">
      <c r="A46" t="s">
        <v>15</v>
      </c>
      <c r="B46" t="s">
        <v>456</v>
      </c>
      <c r="C46" t="s">
        <v>16</v>
      </c>
      <c r="D46">
        <v>4800287</v>
      </c>
      <c r="E46" t="s">
        <v>104</v>
      </c>
      <c r="P46" t="str">
        <f>VLOOKUP(D46,schools!A:B,2,FALSE)</f>
        <v>TARRANT COUNTY</v>
      </c>
    </row>
    <row r="47" spans="1:16" x14ac:dyDescent="0.35">
      <c r="A47" t="s">
        <v>15</v>
      </c>
      <c r="B47" t="s">
        <v>470</v>
      </c>
      <c r="C47" t="s">
        <v>16</v>
      </c>
      <c r="D47">
        <v>4800068</v>
      </c>
      <c r="E47" t="s">
        <v>445</v>
      </c>
      <c r="P47" t="str">
        <f>VLOOKUP(D47,schools!A:B,2,FALSE)</f>
        <v>TARRANT COUNTY</v>
      </c>
    </row>
    <row r="48" spans="1:16" x14ac:dyDescent="0.35">
      <c r="A48" t="s">
        <v>15</v>
      </c>
      <c r="B48" t="s">
        <v>502</v>
      </c>
      <c r="C48" t="s">
        <v>16</v>
      </c>
      <c r="D48">
        <v>4800254</v>
      </c>
      <c r="E48" t="s">
        <v>503</v>
      </c>
      <c r="P48" t="str">
        <f>VLOOKUP(D48,schools!A:B,2,FALSE)</f>
        <v>TARRANT COUNTY</v>
      </c>
    </row>
    <row r="49" spans="1:16" x14ac:dyDescent="0.35">
      <c r="A49" t="s">
        <v>22</v>
      </c>
      <c r="B49" t="s">
        <v>153</v>
      </c>
      <c r="C49" t="s">
        <v>23</v>
      </c>
      <c r="D49">
        <v>4817390</v>
      </c>
      <c r="E49" t="s">
        <v>154</v>
      </c>
      <c r="F49" t="s">
        <v>24</v>
      </c>
      <c r="G49" t="s">
        <v>90</v>
      </c>
      <c r="H49" t="s">
        <v>155</v>
      </c>
      <c r="K49" t="s">
        <v>24</v>
      </c>
      <c r="L49" t="s">
        <v>90</v>
      </c>
      <c r="M49" t="s">
        <v>155</v>
      </c>
      <c r="P49" t="str">
        <f>VLOOKUP(D49,schools!A:B,2,FALSE)</f>
        <v>HIDALGO COUNTY</v>
      </c>
    </row>
    <row r="50" spans="1:16" x14ac:dyDescent="0.35">
      <c r="A50" t="s">
        <v>22</v>
      </c>
      <c r="B50" t="s">
        <v>167</v>
      </c>
      <c r="C50" t="s">
        <v>23</v>
      </c>
      <c r="D50">
        <v>4818060</v>
      </c>
      <c r="E50" t="s">
        <v>168</v>
      </c>
      <c r="F50" t="s">
        <v>17</v>
      </c>
      <c r="K50" t="s">
        <v>17</v>
      </c>
      <c r="P50" t="str">
        <f>VLOOKUP(D50,schools!A:B,2,FALSE)</f>
        <v>HIDALGO COUNTY</v>
      </c>
    </row>
    <row r="51" spans="1:16" x14ac:dyDescent="0.35">
      <c r="A51" t="s">
        <v>22</v>
      </c>
      <c r="B51" t="s">
        <v>171</v>
      </c>
      <c r="C51" t="s">
        <v>23</v>
      </c>
      <c r="D51">
        <v>4818180</v>
      </c>
      <c r="E51" t="s">
        <v>172</v>
      </c>
      <c r="F51" t="s">
        <v>17</v>
      </c>
      <c r="K51" t="s">
        <v>17</v>
      </c>
      <c r="P51" t="str">
        <f>VLOOKUP(D51,schools!A:B,2,FALSE)</f>
        <v>HIDALGO COUNTY</v>
      </c>
    </row>
    <row r="52" spans="1:16" x14ac:dyDescent="0.35">
      <c r="A52" t="s">
        <v>22</v>
      </c>
      <c r="B52" t="s">
        <v>242</v>
      </c>
      <c r="C52" t="s">
        <v>23</v>
      </c>
      <c r="D52">
        <v>4823100</v>
      </c>
      <c r="E52" t="s">
        <v>243</v>
      </c>
      <c r="P52" t="str">
        <f>VLOOKUP(D52,schools!A:B,2,FALSE)</f>
        <v>HIDALGO COUNTY</v>
      </c>
    </row>
    <row r="53" spans="1:16" x14ac:dyDescent="0.35">
      <c r="A53" t="s">
        <v>22</v>
      </c>
      <c r="B53" t="s">
        <v>297</v>
      </c>
      <c r="C53" t="s">
        <v>23</v>
      </c>
      <c r="D53">
        <v>4826130</v>
      </c>
      <c r="E53" t="s">
        <v>298</v>
      </c>
      <c r="P53" t="str">
        <f>VLOOKUP(D53,schools!A:B,2,FALSE)</f>
        <v>HIDALGO COUNTY</v>
      </c>
    </row>
    <row r="54" spans="1:16" x14ac:dyDescent="0.35">
      <c r="A54" t="s">
        <v>22</v>
      </c>
      <c r="B54" t="s">
        <v>301</v>
      </c>
      <c r="C54" t="s">
        <v>23</v>
      </c>
      <c r="D54">
        <v>4826340</v>
      </c>
      <c r="E54" t="s">
        <v>302</v>
      </c>
      <c r="F54" t="s">
        <v>17</v>
      </c>
      <c r="K54" t="s">
        <v>17</v>
      </c>
      <c r="P54" t="str">
        <f>VLOOKUP(D54,schools!A:B,2,FALSE)</f>
        <v>HIDALGO COUNTY</v>
      </c>
    </row>
    <row r="55" spans="1:16" x14ac:dyDescent="0.35">
      <c r="A55" t="s">
        <v>22</v>
      </c>
      <c r="B55" t="s">
        <v>339</v>
      </c>
      <c r="C55" t="s">
        <v>23</v>
      </c>
      <c r="D55">
        <v>4829670</v>
      </c>
      <c r="E55" t="s">
        <v>340</v>
      </c>
      <c r="P55" t="str">
        <f>VLOOKUP(D55,schools!A:B,2,FALSE)</f>
        <v>HIDALGO COUNTY</v>
      </c>
    </row>
    <row r="56" spans="1:16" x14ac:dyDescent="0.35">
      <c r="A56" t="s">
        <v>22</v>
      </c>
      <c r="B56" t="s">
        <v>345</v>
      </c>
      <c r="C56" t="s">
        <v>23</v>
      </c>
      <c r="D56">
        <v>4830250</v>
      </c>
      <c r="E56" t="s">
        <v>346</v>
      </c>
      <c r="P56" t="str">
        <f>VLOOKUP(D56,schools!A:B,2,FALSE)</f>
        <v>HIDALGO COUNTY</v>
      </c>
    </row>
    <row r="57" spans="1:16" x14ac:dyDescent="0.35">
      <c r="A57" t="s">
        <v>22</v>
      </c>
      <c r="B57" t="s">
        <v>352</v>
      </c>
      <c r="C57" t="s">
        <v>23</v>
      </c>
      <c r="D57">
        <v>4831040</v>
      </c>
      <c r="E57" t="s">
        <v>353</v>
      </c>
      <c r="F57" t="s">
        <v>17</v>
      </c>
      <c r="K57" t="s">
        <v>17</v>
      </c>
      <c r="P57" t="str">
        <f>VLOOKUP(D57,schools!A:B,2,FALSE)</f>
        <v>HIDALGO COUNTY</v>
      </c>
    </row>
    <row r="58" spans="1:16" x14ac:dyDescent="0.35">
      <c r="A58" t="s">
        <v>22</v>
      </c>
      <c r="B58" t="s">
        <v>354</v>
      </c>
      <c r="C58" t="s">
        <v>23</v>
      </c>
      <c r="D58">
        <v>4831230</v>
      </c>
      <c r="E58" t="s">
        <v>355</v>
      </c>
      <c r="P58" t="str">
        <f>VLOOKUP(D58,schools!A:B,2,FALSE)</f>
        <v>HIDALGO COUNTY</v>
      </c>
    </row>
    <row r="59" spans="1:16" x14ac:dyDescent="0.35">
      <c r="A59" t="s">
        <v>22</v>
      </c>
      <c r="B59" t="s">
        <v>381</v>
      </c>
      <c r="C59" t="s">
        <v>23</v>
      </c>
      <c r="D59">
        <v>4834860</v>
      </c>
      <c r="E59" t="s">
        <v>382</v>
      </c>
      <c r="P59" t="str">
        <f>VLOOKUP(D59,schools!A:B,2,FALSE)</f>
        <v>HIDALGO COUNTY</v>
      </c>
    </row>
    <row r="60" spans="1:16" x14ac:dyDescent="0.35">
      <c r="A60" t="s">
        <v>22</v>
      </c>
      <c r="B60" t="s">
        <v>395</v>
      </c>
      <c r="C60" t="s">
        <v>23</v>
      </c>
      <c r="D60">
        <v>4835910</v>
      </c>
      <c r="E60" t="s">
        <v>396</v>
      </c>
      <c r="P60" t="str">
        <f>VLOOKUP(D60,schools!A:B,2,FALSE)</f>
        <v>HIDALGO COUNTY</v>
      </c>
    </row>
    <row r="61" spans="1:16" x14ac:dyDescent="0.35">
      <c r="A61" t="s">
        <v>22</v>
      </c>
      <c r="B61" t="s">
        <v>424</v>
      </c>
      <c r="C61" t="s">
        <v>23</v>
      </c>
      <c r="D61">
        <v>4839930</v>
      </c>
      <c r="E61" t="s">
        <v>164</v>
      </c>
      <c r="P61" t="str">
        <f>VLOOKUP(D61,schools!A:B,2,FALSE)</f>
        <v>HIDALGO COUNTY</v>
      </c>
    </row>
    <row r="62" spans="1:16" x14ac:dyDescent="0.35">
      <c r="A62" t="s">
        <v>22</v>
      </c>
      <c r="B62" t="s">
        <v>489</v>
      </c>
      <c r="C62" t="s">
        <v>23</v>
      </c>
      <c r="D62">
        <v>4843800</v>
      </c>
      <c r="E62" t="s">
        <v>490</v>
      </c>
      <c r="P62" t="str">
        <f>VLOOKUP(D62,schools!A:B,2,FALSE)</f>
        <v>HIDALGO COUNTY</v>
      </c>
    </row>
    <row r="63" spans="1:16" x14ac:dyDescent="0.35">
      <c r="A63" t="s">
        <v>22</v>
      </c>
      <c r="B63" t="s">
        <v>500</v>
      </c>
      <c r="C63" t="s">
        <v>23</v>
      </c>
      <c r="D63">
        <v>4844960</v>
      </c>
      <c r="E63" t="s">
        <v>501</v>
      </c>
      <c r="P63" t="str">
        <f>VLOOKUP(D63,schools!A:B,2,FALSE)</f>
        <v>HIDALGO COUNTY</v>
      </c>
    </row>
    <row r="64" spans="1:16" x14ac:dyDescent="0.35">
      <c r="A64" t="s">
        <v>15</v>
      </c>
      <c r="B64" t="s">
        <v>188</v>
      </c>
      <c r="C64" t="s">
        <v>16</v>
      </c>
      <c r="D64">
        <v>4801433</v>
      </c>
      <c r="E64" t="s">
        <v>103</v>
      </c>
      <c r="P64" t="str">
        <f>VLOOKUP(D64,schools!A:B,2,FALSE)</f>
        <v>HIDALGO COUNTY</v>
      </c>
    </row>
    <row r="65" spans="1:16" x14ac:dyDescent="0.35">
      <c r="A65" t="s">
        <v>15</v>
      </c>
      <c r="B65" t="s">
        <v>246</v>
      </c>
      <c r="C65" t="s">
        <v>16</v>
      </c>
      <c r="D65">
        <v>4800065</v>
      </c>
      <c r="E65" t="s">
        <v>247</v>
      </c>
      <c r="P65" t="str">
        <f>VLOOKUP(D65,schools!A:B,2,FALSE)</f>
        <v>HIDALGO COUNTY</v>
      </c>
    </row>
    <row r="66" spans="1:16" x14ac:dyDescent="0.35">
      <c r="A66" t="s">
        <v>15</v>
      </c>
      <c r="B66" t="s">
        <v>260</v>
      </c>
      <c r="C66" t="s">
        <v>16</v>
      </c>
      <c r="D66">
        <v>4800211</v>
      </c>
      <c r="E66" t="s">
        <v>261</v>
      </c>
      <c r="F66" t="s">
        <v>17</v>
      </c>
      <c r="K66" t="s">
        <v>17</v>
      </c>
      <c r="P66" t="str">
        <f>VLOOKUP(D66,schools!A:B,2,FALSE)</f>
        <v>HIDALGO COUNTY</v>
      </c>
    </row>
    <row r="67" spans="1:16" x14ac:dyDescent="0.35">
      <c r="A67" t="s">
        <v>15</v>
      </c>
      <c r="B67" t="s">
        <v>474</v>
      </c>
      <c r="C67" t="s">
        <v>16</v>
      </c>
      <c r="D67">
        <v>4800133</v>
      </c>
      <c r="E67" t="s">
        <v>410</v>
      </c>
      <c r="P67" t="str">
        <f>VLOOKUP(D67,schools!A:B,2,FALSE)</f>
        <v>HIDALGO COUNTY</v>
      </c>
    </row>
    <row r="68" spans="1:16" x14ac:dyDescent="0.35">
      <c r="A68" t="s">
        <v>15</v>
      </c>
      <c r="B68" t="s">
        <v>493</v>
      </c>
      <c r="C68" t="s">
        <v>16</v>
      </c>
      <c r="D68">
        <v>4800195</v>
      </c>
      <c r="E68" t="s">
        <v>494</v>
      </c>
      <c r="P68" t="str">
        <f>VLOOKUP(D68,schools!A:B,2,FALSE)</f>
        <v>HIDALGO COUNTY</v>
      </c>
    </row>
    <row r="69" spans="1:16" x14ac:dyDescent="0.35">
      <c r="A69" t="s">
        <v>22</v>
      </c>
      <c r="B69" t="s">
        <v>39</v>
      </c>
      <c r="C69" t="s">
        <v>23</v>
      </c>
      <c r="D69">
        <v>4807710</v>
      </c>
      <c r="E69" t="s">
        <v>40</v>
      </c>
      <c r="P69" t="str">
        <f>VLOOKUP(D69,schools!A:B,2,FALSE)</f>
        <v>HARRIS COUNTY</v>
      </c>
    </row>
    <row r="70" spans="1:16" x14ac:dyDescent="0.35">
      <c r="A70" t="s">
        <v>22</v>
      </c>
      <c r="B70" t="s">
        <v>41</v>
      </c>
      <c r="C70" t="s">
        <v>23</v>
      </c>
      <c r="D70">
        <v>4807830</v>
      </c>
      <c r="E70" t="s">
        <v>42</v>
      </c>
      <c r="P70" t="str">
        <f>VLOOKUP(D70,schools!A:B,2,FALSE)</f>
        <v>HARRIS COUNTY</v>
      </c>
    </row>
    <row r="71" spans="1:16" x14ac:dyDescent="0.35">
      <c r="A71" t="s">
        <v>22</v>
      </c>
      <c r="B71" t="s">
        <v>118</v>
      </c>
      <c r="C71" t="s">
        <v>23</v>
      </c>
      <c r="D71">
        <v>4813590</v>
      </c>
      <c r="E71" t="s">
        <v>119</v>
      </c>
      <c r="P71" t="str">
        <f>VLOOKUP(D71,schools!A:B,2,FALSE)</f>
        <v>HARRIS COUNTY</v>
      </c>
    </row>
    <row r="72" spans="1:16" x14ac:dyDescent="0.35">
      <c r="A72" t="s">
        <v>22</v>
      </c>
      <c r="B72" t="s">
        <v>135</v>
      </c>
      <c r="C72" t="s">
        <v>23</v>
      </c>
      <c r="D72">
        <v>4815750</v>
      </c>
      <c r="E72" t="s">
        <v>136</v>
      </c>
      <c r="P72" t="str">
        <f>VLOOKUP(D72,schools!A:B,2,FALSE)</f>
        <v>HARRIS COUNTY</v>
      </c>
    </row>
    <row r="73" spans="1:16" x14ac:dyDescent="0.35">
      <c r="A73" t="s">
        <v>22</v>
      </c>
      <c r="B73" t="s">
        <v>140</v>
      </c>
      <c r="C73" t="s">
        <v>23</v>
      </c>
      <c r="D73">
        <v>4816110</v>
      </c>
      <c r="E73" t="s">
        <v>141</v>
      </c>
      <c r="P73" t="str">
        <f>VLOOKUP(D73,schools!A:B,2,FALSE)</f>
        <v>HARRIS COUNTY</v>
      </c>
    </row>
    <row r="74" spans="1:16" x14ac:dyDescent="0.35">
      <c r="A74" t="s">
        <v>22</v>
      </c>
      <c r="B74" t="s">
        <v>144</v>
      </c>
      <c r="C74" t="s">
        <v>23</v>
      </c>
      <c r="D74">
        <v>4816530</v>
      </c>
      <c r="E74" t="s">
        <v>145</v>
      </c>
      <c r="P74" t="str">
        <f>VLOOKUP(D74,schools!A:B,2,FALSE)</f>
        <v>HARRIS COUNTY</v>
      </c>
    </row>
    <row r="75" spans="1:16" x14ac:dyDescent="0.35">
      <c r="A75" t="s">
        <v>22</v>
      </c>
      <c r="B75" t="s">
        <v>202</v>
      </c>
      <c r="C75" t="s">
        <v>23</v>
      </c>
      <c r="D75">
        <v>4820250</v>
      </c>
      <c r="E75" t="s">
        <v>203</v>
      </c>
      <c r="P75" t="str">
        <f>VLOOKUP(D75,schools!A:B,2,FALSE)</f>
        <v>HARRIS COUNTY</v>
      </c>
    </row>
    <row r="76" spans="1:16" x14ac:dyDescent="0.35">
      <c r="A76" t="s">
        <v>22</v>
      </c>
      <c r="B76" t="s">
        <v>215</v>
      </c>
      <c r="C76" t="s">
        <v>23</v>
      </c>
      <c r="D76">
        <v>4821150</v>
      </c>
      <c r="E76" t="s">
        <v>216</v>
      </c>
      <c r="P76" t="str">
        <f>VLOOKUP(D76,schools!A:B,2,FALSE)</f>
        <v>HARRIS COUNTY</v>
      </c>
    </row>
    <row r="77" spans="1:16" x14ac:dyDescent="0.35">
      <c r="A77" t="s">
        <v>22</v>
      </c>
      <c r="B77" t="s">
        <v>252</v>
      </c>
      <c r="C77" t="s">
        <v>23</v>
      </c>
      <c r="D77">
        <v>4823640</v>
      </c>
      <c r="E77" t="s">
        <v>253</v>
      </c>
      <c r="P77" t="str">
        <f>VLOOKUP(D77,schools!A:B,2,FALSE)</f>
        <v>HARRIS COUNTY</v>
      </c>
    </row>
    <row r="78" spans="1:16" x14ac:dyDescent="0.35">
      <c r="A78" t="s">
        <v>22</v>
      </c>
      <c r="B78" t="s">
        <v>254</v>
      </c>
      <c r="C78" t="s">
        <v>23</v>
      </c>
      <c r="D78">
        <v>4823820</v>
      </c>
      <c r="E78" t="s">
        <v>255</v>
      </c>
      <c r="P78" t="str">
        <f>VLOOKUP(D78,schools!A:B,2,FALSE)</f>
        <v>HARRIS COUNTY</v>
      </c>
    </row>
    <row r="79" spans="1:16" x14ac:dyDescent="0.35">
      <c r="A79" t="s">
        <v>22</v>
      </c>
      <c r="B79" t="s">
        <v>256</v>
      </c>
      <c r="C79" t="s">
        <v>23</v>
      </c>
      <c r="D79">
        <v>4823910</v>
      </c>
      <c r="E79" t="s">
        <v>257</v>
      </c>
      <c r="P79" t="str">
        <f>VLOOKUP(D79,schools!A:B,2,FALSE)</f>
        <v>HARRIS COUNTY</v>
      </c>
    </row>
    <row r="80" spans="1:16" x14ac:dyDescent="0.35">
      <c r="A80" t="s">
        <v>22</v>
      </c>
      <c r="B80" t="s">
        <v>280</v>
      </c>
      <c r="C80" t="s">
        <v>23</v>
      </c>
      <c r="D80">
        <v>4825170</v>
      </c>
      <c r="E80" t="s">
        <v>281</v>
      </c>
      <c r="F80" t="s">
        <v>17</v>
      </c>
      <c r="K80" t="s">
        <v>17</v>
      </c>
      <c r="P80" t="str">
        <f>VLOOKUP(D80,schools!A:B,2,FALSE)</f>
        <v>HARRIS COUNTY</v>
      </c>
    </row>
    <row r="81" spans="1:16" x14ac:dyDescent="0.35">
      <c r="A81" t="s">
        <v>22</v>
      </c>
      <c r="B81" t="s">
        <v>289</v>
      </c>
      <c r="C81" t="s">
        <v>23</v>
      </c>
      <c r="D81">
        <v>4825740</v>
      </c>
      <c r="E81" t="s">
        <v>290</v>
      </c>
      <c r="P81" t="str">
        <f>VLOOKUP(D81,schools!A:B,2,FALSE)</f>
        <v>HARRIS COUNTY</v>
      </c>
    </row>
    <row r="82" spans="1:16" x14ac:dyDescent="0.35">
      <c r="A82" t="s">
        <v>22</v>
      </c>
      <c r="B82" t="s">
        <v>299</v>
      </c>
      <c r="C82" t="s">
        <v>23</v>
      </c>
      <c r="D82">
        <v>4826190</v>
      </c>
      <c r="E82" t="s">
        <v>300</v>
      </c>
      <c r="P82" t="str">
        <f>VLOOKUP(D82,schools!A:B,2,FALSE)</f>
        <v>HARRIS COUNTY</v>
      </c>
    </row>
    <row r="83" spans="1:16" x14ac:dyDescent="0.35">
      <c r="A83" t="s">
        <v>22</v>
      </c>
      <c r="B83" t="s">
        <v>375</v>
      </c>
      <c r="C83" t="s">
        <v>23</v>
      </c>
      <c r="D83">
        <v>4834320</v>
      </c>
      <c r="E83" t="s">
        <v>376</v>
      </c>
      <c r="P83" t="str">
        <f>VLOOKUP(D83,schools!A:B,2,FALSE)</f>
        <v>HARRIS COUNTY</v>
      </c>
    </row>
    <row r="84" spans="1:16" x14ac:dyDescent="0.35">
      <c r="A84" t="s">
        <v>22</v>
      </c>
      <c r="B84" t="s">
        <v>425</v>
      </c>
      <c r="C84" t="s">
        <v>23</v>
      </c>
      <c r="D84">
        <v>4839990</v>
      </c>
      <c r="E84" t="s">
        <v>426</v>
      </c>
      <c r="P84" t="str">
        <f>VLOOKUP(D84,schools!A:B,2,FALSE)</f>
        <v>HARRIS COUNTY</v>
      </c>
    </row>
    <row r="85" spans="1:16" x14ac:dyDescent="0.35">
      <c r="A85" t="s">
        <v>22</v>
      </c>
      <c r="B85" t="s">
        <v>440</v>
      </c>
      <c r="C85" t="s">
        <v>23</v>
      </c>
      <c r="D85">
        <v>4841100</v>
      </c>
      <c r="E85" t="s">
        <v>441</v>
      </c>
      <c r="P85" t="str">
        <f>VLOOKUP(D85,schools!A:B,2,FALSE)</f>
        <v>HARRIS COUNTY</v>
      </c>
    </row>
    <row r="86" spans="1:16" x14ac:dyDescent="0.35">
      <c r="A86" t="s">
        <v>22</v>
      </c>
      <c r="B86" t="s">
        <v>442</v>
      </c>
      <c r="C86" t="s">
        <v>23</v>
      </c>
      <c r="D86">
        <v>4841220</v>
      </c>
      <c r="E86" t="s">
        <v>443</v>
      </c>
      <c r="P86" t="str">
        <f>VLOOKUP(D86,schools!A:B,2,FALSE)</f>
        <v>HARRIS COUNTY</v>
      </c>
    </row>
    <row r="87" spans="1:16" x14ac:dyDescent="0.35">
      <c r="A87" t="s">
        <v>22</v>
      </c>
      <c r="B87" t="s">
        <v>466</v>
      </c>
      <c r="C87" t="s">
        <v>23</v>
      </c>
      <c r="D87">
        <v>4842960</v>
      </c>
      <c r="E87" t="s">
        <v>467</v>
      </c>
      <c r="P87" t="str">
        <f>VLOOKUP(D87,schools!A:B,2,FALSE)</f>
        <v>HARRIS COUNTY</v>
      </c>
    </row>
    <row r="88" spans="1:16" x14ac:dyDescent="0.35">
      <c r="A88" t="s">
        <v>15</v>
      </c>
      <c r="B88" t="s">
        <v>20</v>
      </c>
      <c r="C88" t="s">
        <v>16</v>
      </c>
      <c r="D88">
        <v>4801453</v>
      </c>
      <c r="E88" t="s">
        <v>21</v>
      </c>
      <c r="F88" t="s">
        <v>17</v>
      </c>
      <c r="K88" t="s">
        <v>17</v>
      </c>
      <c r="P88" t="str">
        <f>VLOOKUP(D88,schools!A:B,2,FALSE)</f>
        <v>HARRIS COUNTY</v>
      </c>
    </row>
    <row r="89" spans="1:16" x14ac:dyDescent="0.35">
      <c r="A89" t="s">
        <v>15</v>
      </c>
      <c r="B89" t="s">
        <v>28</v>
      </c>
      <c r="C89" t="s">
        <v>16</v>
      </c>
      <c r="D89">
        <v>4800032</v>
      </c>
      <c r="E89" t="s">
        <v>29</v>
      </c>
      <c r="P89" t="str">
        <f>VLOOKUP(D89,schools!A:B,2,FALSE)</f>
        <v>HARRIS COUNTY</v>
      </c>
    </row>
    <row r="90" spans="1:16" x14ac:dyDescent="0.35">
      <c r="A90" t="s">
        <v>15</v>
      </c>
      <c r="B90" t="s">
        <v>32</v>
      </c>
      <c r="C90" t="s">
        <v>16</v>
      </c>
      <c r="D90">
        <v>4800192</v>
      </c>
      <c r="E90" t="s">
        <v>33</v>
      </c>
      <c r="P90" t="str">
        <f>VLOOKUP(D90,schools!A:B,2,FALSE)</f>
        <v>HARRIS COUNTY</v>
      </c>
    </row>
    <row r="91" spans="1:16" x14ac:dyDescent="0.35">
      <c r="A91" t="s">
        <v>15</v>
      </c>
      <c r="B91" t="s">
        <v>43</v>
      </c>
      <c r="C91" t="s">
        <v>16</v>
      </c>
      <c r="D91">
        <v>4800035</v>
      </c>
      <c r="E91" t="s">
        <v>44</v>
      </c>
      <c r="F91" t="s">
        <v>17</v>
      </c>
      <c r="K91" t="s">
        <v>17</v>
      </c>
      <c r="P91" t="str">
        <f>VLOOKUP(D91,schools!A:B,2,FALSE)</f>
        <v>HARRIS COUNTY</v>
      </c>
    </row>
    <row r="92" spans="1:16" x14ac:dyDescent="0.35">
      <c r="A92" t="s">
        <v>15</v>
      </c>
      <c r="B92" t="s">
        <v>48</v>
      </c>
      <c r="C92" t="s">
        <v>16</v>
      </c>
      <c r="D92">
        <v>4800113</v>
      </c>
      <c r="E92" t="s">
        <v>49</v>
      </c>
      <c r="P92" t="str">
        <f>VLOOKUP(D92,schools!A:B,2,FALSE)</f>
        <v>HARRIS COUNTY</v>
      </c>
    </row>
    <row r="93" spans="1:16" x14ac:dyDescent="0.35">
      <c r="A93" t="s">
        <v>15</v>
      </c>
      <c r="B93" t="s">
        <v>56</v>
      </c>
      <c r="C93" t="s">
        <v>16</v>
      </c>
      <c r="D93">
        <v>4800019</v>
      </c>
      <c r="E93" t="s">
        <v>57</v>
      </c>
      <c r="F93" t="s">
        <v>17</v>
      </c>
      <c r="K93" t="s">
        <v>17</v>
      </c>
      <c r="P93" t="str">
        <f>VLOOKUP(D93,schools!A:B,2,FALSE)</f>
        <v>HARRIS COUNTY</v>
      </c>
    </row>
    <row r="94" spans="1:16" x14ac:dyDescent="0.35">
      <c r="A94" t="s">
        <v>15</v>
      </c>
      <c r="B94" t="s">
        <v>76</v>
      </c>
      <c r="C94" t="s">
        <v>16</v>
      </c>
      <c r="D94">
        <v>4800190</v>
      </c>
      <c r="E94" t="s">
        <v>77</v>
      </c>
      <c r="P94" t="str">
        <f>VLOOKUP(D94,schools!A:B,2,FALSE)</f>
        <v>HARRIS COUNTY</v>
      </c>
    </row>
    <row r="95" spans="1:16" x14ac:dyDescent="0.35">
      <c r="A95" t="s">
        <v>15</v>
      </c>
      <c r="B95" t="s">
        <v>78</v>
      </c>
      <c r="C95" t="s">
        <v>16</v>
      </c>
      <c r="D95">
        <v>4801446</v>
      </c>
      <c r="E95" t="s">
        <v>79</v>
      </c>
      <c r="P95" t="str">
        <f>VLOOKUP(D95,schools!A:B,2,FALSE)</f>
        <v>HARRIS COUNTY</v>
      </c>
    </row>
    <row r="96" spans="1:16" x14ac:dyDescent="0.35">
      <c r="A96" t="s">
        <v>15</v>
      </c>
      <c r="B96" t="s">
        <v>86</v>
      </c>
      <c r="C96" t="s">
        <v>16</v>
      </c>
      <c r="D96">
        <v>4801466</v>
      </c>
      <c r="E96" t="s">
        <v>87</v>
      </c>
      <c r="P96" t="str">
        <f>VLOOKUP(D96,schools!A:B,2,FALSE)</f>
        <v>HARRIS COUNTY</v>
      </c>
    </row>
    <row r="97" spans="1:16" x14ac:dyDescent="0.35">
      <c r="A97" t="s">
        <v>15</v>
      </c>
      <c r="B97" t="s">
        <v>102</v>
      </c>
      <c r="C97" t="s">
        <v>16</v>
      </c>
      <c r="D97">
        <v>4800124</v>
      </c>
      <c r="E97" t="s">
        <v>103</v>
      </c>
      <c r="P97" t="str">
        <f>VLOOKUP(D97,schools!A:B,2,FALSE)</f>
        <v>HARRIS COUNTY</v>
      </c>
    </row>
    <row r="98" spans="1:16" x14ac:dyDescent="0.35">
      <c r="A98" t="s">
        <v>15</v>
      </c>
      <c r="B98" t="s">
        <v>130</v>
      </c>
      <c r="C98" t="s">
        <v>16</v>
      </c>
      <c r="D98">
        <v>4800127</v>
      </c>
      <c r="E98" t="s">
        <v>131</v>
      </c>
      <c r="P98" t="str">
        <f>VLOOKUP(D98,schools!A:B,2,FALSE)</f>
        <v>HARRIS COUNTY</v>
      </c>
    </row>
    <row r="99" spans="1:16" x14ac:dyDescent="0.35">
      <c r="A99" t="s">
        <v>15</v>
      </c>
      <c r="B99" t="s">
        <v>156</v>
      </c>
      <c r="C99" t="s">
        <v>16</v>
      </c>
      <c r="D99">
        <v>4800263</v>
      </c>
      <c r="E99" t="s">
        <v>84</v>
      </c>
      <c r="P99" t="str">
        <f>VLOOKUP(D99,schools!A:B,2,FALSE)</f>
        <v>HARRIS COUNTY</v>
      </c>
    </row>
    <row r="100" spans="1:16" x14ac:dyDescent="0.35">
      <c r="A100" t="s">
        <v>15</v>
      </c>
      <c r="B100" t="s">
        <v>182</v>
      </c>
      <c r="C100" t="s">
        <v>16</v>
      </c>
      <c r="D100">
        <v>4801460</v>
      </c>
      <c r="E100" t="s">
        <v>62</v>
      </c>
      <c r="P100" t="str">
        <f>VLOOKUP(D100,schools!A:B,2,FALSE)</f>
        <v>HARRIS COUNTY</v>
      </c>
    </row>
    <row r="101" spans="1:16" x14ac:dyDescent="0.35">
      <c r="A101" t="s">
        <v>15</v>
      </c>
      <c r="B101" t="s">
        <v>187</v>
      </c>
      <c r="C101" t="s">
        <v>16</v>
      </c>
      <c r="D101">
        <v>4800049</v>
      </c>
      <c r="E101" t="s">
        <v>62</v>
      </c>
      <c r="F101" t="s">
        <v>17</v>
      </c>
      <c r="K101" t="s">
        <v>17</v>
      </c>
      <c r="P101" t="str">
        <f>VLOOKUP(D101,schools!A:B,2,FALSE)</f>
        <v>HARRIS COUNTY</v>
      </c>
    </row>
    <row r="102" spans="1:16" x14ac:dyDescent="0.35">
      <c r="A102" t="s">
        <v>15</v>
      </c>
      <c r="B102" t="s">
        <v>211</v>
      </c>
      <c r="C102" t="s">
        <v>16</v>
      </c>
      <c r="D102">
        <v>4800020</v>
      </c>
      <c r="E102" t="s">
        <v>212</v>
      </c>
      <c r="P102" t="str">
        <f>VLOOKUP(D102,schools!A:B,2,FALSE)</f>
        <v>HARRIS COUNTY</v>
      </c>
    </row>
    <row r="103" spans="1:16" x14ac:dyDescent="0.35">
      <c r="A103" t="s">
        <v>15</v>
      </c>
      <c r="B103" t="s">
        <v>226</v>
      </c>
      <c r="C103" t="s">
        <v>16</v>
      </c>
      <c r="D103">
        <v>4800274</v>
      </c>
      <c r="E103" t="s">
        <v>227</v>
      </c>
      <c r="P103" t="str">
        <f>VLOOKUP(D103,schools!A:B,2,FALSE)</f>
        <v>HARRIS COUNTY</v>
      </c>
    </row>
    <row r="104" spans="1:16" x14ac:dyDescent="0.35">
      <c r="A104" t="s">
        <v>15</v>
      </c>
      <c r="B104" t="s">
        <v>228</v>
      </c>
      <c r="C104" t="s">
        <v>16</v>
      </c>
      <c r="D104">
        <v>4801405</v>
      </c>
      <c r="E104" t="s">
        <v>229</v>
      </c>
      <c r="P104" t="str">
        <f>VLOOKUP(D104,schools!A:B,2,FALSE)</f>
        <v>HARRIS COUNTY</v>
      </c>
    </row>
    <row r="105" spans="1:16" x14ac:dyDescent="0.35">
      <c r="A105" t="s">
        <v>15</v>
      </c>
      <c r="B105" t="s">
        <v>234</v>
      </c>
      <c r="C105" t="s">
        <v>16</v>
      </c>
      <c r="D105">
        <v>4800210</v>
      </c>
      <c r="E105" t="s">
        <v>235</v>
      </c>
      <c r="F105" t="s">
        <v>17</v>
      </c>
      <c r="K105" t="s">
        <v>17</v>
      </c>
      <c r="P105" t="str">
        <f>VLOOKUP(D105,schools!A:B,2,FALSE)</f>
        <v>HARRIS COUNTY</v>
      </c>
    </row>
    <row r="106" spans="1:16" x14ac:dyDescent="0.35">
      <c r="A106" t="s">
        <v>15</v>
      </c>
      <c r="B106" t="s">
        <v>248</v>
      </c>
      <c r="C106" t="s">
        <v>16</v>
      </c>
      <c r="D106">
        <v>4800118</v>
      </c>
      <c r="E106" t="s">
        <v>249</v>
      </c>
      <c r="P106" t="str">
        <f>VLOOKUP(D106,schools!A:B,2,FALSE)</f>
        <v>HARRIS COUNTY</v>
      </c>
    </row>
    <row r="107" spans="1:16" x14ac:dyDescent="0.35">
      <c r="A107" t="s">
        <v>15</v>
      </c>
      <c r="B107" t="s">
        <v>250</v>
      </c>
      <c r="C107" t="s">
        <v>16</v>
      </c>
      <c r="D107">
        <v>4800115</v>
      </c>
      <c r="E107" t="s">
        <v>251</v>
      </c>
      <c r="F107" t="s">
        <v>17</v>
      </c>
      <c r="K107" t="s">
        <v>17</v>
      </c>
      <c r="P107" t="str">
        <f>VLOOKUP(D107,schools!A:B,2,FALSE)</f>
        <v>HARRIS COUNTY</v>
      </c>
    </row>
    <row r="108" spans="1:16" x14ac:dyDescent="0.35">
      <c r="A108" t="s">
        <v>15</v>
      </c>
      <c r="B108" t="s">
        <v>319</v>
      </c>
      <c r="C108" t="s">
        <v>16</v>
      </c>
      <c r="D108">
        <v>4801459</v>
      </c>
      <c r="E108" t="s">
        <v>320</v>
      </c>
      <c r="P108" t="str">
        <f>VLOOKUP(D108,schools!A:B,2,FALSE)</f>
        <v>HARRIS COUNTY</v>
      </c>
    </row>
    <row r="109" spans="1:16" x14ac:dyDescent="0.35">
      <c r="A109" t="s">
        <v>15</v>
      </c>
      <c r="B109" t="s">
        <v>349</v>
      </c>
      <c r="C109" t="s">
        <v>16</v>
      </c>
      <c r="D109">
        <v>4800262</v>
      </c>
      <c r="E109" t="s">
        <v>350</v>
      </c>
      <c r="P109" t="str">
        <f>VLOOKUP(D109,schools!A:B,2,FALSE)</f>
        <v>HARRIS COUNTY</v>
      </c>
    </row>
    <row r="110" spans="1:16" x14ac:dyDescent="0.35">
      <c r="A110" t="s">
        <v>15</v>
      </c>
      <c r="B110" t="s">
        <v>399</v>
      </c>
      <c r="C110" t="s">
        <v>16</v>
      </c>
      <c r="D110">
        <v>4800240</v>
      </c>
      <c r="E110" t="s">
        <v>400</v>
      </c>
      <c r="P110" t="str">
        <f>VLOOKUP(D110,schools!A:B,2,FALSE)</f>
        <v>HARRIS COUNTY</v>
      </c>
    </row>
    <row r="111" spans="1:16" x14ac:dyDescent="0.35">
      <c r="A111" t="s">
        <v>15</v>
      </c>
      <c r="B111" t="s">
        <v>404</v>
      </c>
      <c r="C111" t="s">
        <v>16</v>
      </c>
      <c r="D111">
        <v>4800022</v>
      </c>
      <c r="E111" t="s">
        <v>405</v>
      </c>
      <c r="P111" t="str">
        <f>VLOOKUP(D111,schools!A:B,2,FALSE)</f>
        <v>HARRIS COUNTY</v>
      </c>
    </row>
    <row r="112" spans="1:16" x14ac:dyDescent="0.35">
      <c r="A112" t="s">
        <v>15</v>
      </c>
      <c r="B112" t="s">
        <v>406</v>
      </c>
      <c r="C112" t="s">
        <v>16</v>
      </c>
      <c r="D112">
        <v>4801465</v>
      </c>
      <c r="E112" t="s">
        <v>284</v>
      </c>
      <c r="P112" t="str">
        <f>VLOOKUP(D112,schools!A:B,2,FALSE)</f>
        <v>HARRIS COUNTY</v>
      </c>
    </row>
    <row r="113" spans="1:16" x14ac:dyDescent="0.35">
      <c r="A113" t="s">
        <v>15</v>
      </c>
      <c r="B113" t="s">
        <v>423</v>
      </c>
      <c r="C113" t="s">
        <v>16</v>
      </c>
      <c r="D113">
        <v>4800018</v>
      </c>
      <c r="E113" t="s">
        <v>92</v>
      </c>
      <c r="P113" t="str">
        <f>VLOOKUP(D113,schools!A:B,2,FALSE)</f>
        <v>HARRIS COUNTY</v>
      </c>
    </row>
    <row r="114" spans="1:16" x14ac:dyDescent="0.35">
      <c r="A114" t="s">
        <v>15</v>
      </c>
      <c r="B114" t="s">
        <v>438</v>
      </c>
      <c r="C114" t="s">
        <v>16</v>
      </c>
      <c r="D114">
        <v>4800125</v>
      </c>
      <c r="E114" t="s">
        <v>439</v>
      </c>
      <c r="P114" t="str">
        <f>VLOOKUP(D114,schools!A:B,2,FALSE)</f>
        <v>HARRIS COUNTY</v>
      </c>
    </row>
    <row r="115" spans="1:16" x14ac:dyDescent="0.35">
      <c r="A115" t="s">
        <v>15</v>
      </c>
      <c r="B115" t="s">
        <v>446</v>
      </c>
      <c r="C115" t="s">
        <v>16</v>
      </c>
      <c r="D115">
        <v>4800275</v>
      </c>
      <c r="E115" t="s">
        <v>327</v>
      </c>
      <c r="P115" t="str">
        <f>VLOOKUP(D115,schools!A:B,2,FALSE)</f>
        <v>HARRIS COUNTY</v>
      </c>
    </row>
    <row r="116" spans="1:16" x14ac:dyDescent="0.35">
      <c r="A116" t="s">
        <v>15</v>
      </c>
      <c r="B116" t="s">
        <v>459</v>
      </c>
      <c r="C116" t="s">
        <v>16</v>
      </c>
      <c r="D116">
        <v>4801418</v>
      </c>
      <c r="E116" t="s">
        <v>358</v>
      </c>
      <c r="F116" t="s">
        <v>17</v>
      </c>
      <c r="K116" t="s">
        <v>17</v>
      </c>
      <c r="P116" t="str">
        <f>VLOOKUP(D116,schools!A:B,2,FALSE)</f>
        <v>HARRIS COUNTY</v>
      </c>
    </row>
    <row r="117" spans="1:16" x14ac:dyDescent="0.35">
      <c r="A117" t="s">
        <v>15</v>
      </c>
      <c r="B117" t="s">
        <v>460</v>
      </c>
      <c r="C117" t="s">
        <v>16</v>
      </c>
      <c r="D117">
        <v>4801434</v>
      </c>
      <c r="E117" t="s">
        <v>461</v>
      </c>
      <c r="F117" t="s">
        <v>17</v>
      </c>
      <c r="K117" t="s">
        <v>17</v>
      </c>
      <c r="P117" t="str">
        <f>VLOOKUP(D117,schools!A:B,2,FALSE)</f>
        <v>HARRIS COUNTY</v>
      </c>
    </row>
    <row r="118" spans="1:16" x14ac:dyDescent="0.35">
      <c r="A118" t="s">
        <v>15</v>
      </c>
      <c r="B118" t="s">
        <v>462</v>
      </c>
      <c r="C118" t="s">
        <v>16</v>
      </c>
      <c r="D118">
        <v>4800283</v>
      </c>
      <c r="E118" t="s">
        <v>463</v>
      </c>
      <c r="P118" t="str">
        <f>VLOOKUP(D118,schools!A:B,2,FALSE)</f>
        <v>HARRIS COUNTY</v>
      </c>
    </row>
    <row r="119" spans="1:16" x14ac:dyDescent="0.35">
      <c r="A119" t="s">
        <v>15</v>
      </c>
      <c r="B119" t="s">
        <v>464</v>
      </c>
      <c r="C119" t="s">
        <v>16</v>
      </c>
      <c r="D119">
        <v>4800073</v>
      </c>
      <c r="E119" t="s">
        <v>465</v>
      </c>
      <c r="F119" t="s">
        <v>17</v>
      </c>
      <c r="K119" t="s">
        <v>17</v>
      </c>
      <c r="P119" t="str">
        <f>VLOOKUP(D119,schools!A:B,2,FALSE)</f>
        <v>HARRIS COUNTY</v>
      </c>
    </row>
    <row r="120" spans="1:16" x14ac:dyDescent="0.35">
      <c r="A120" t="s">
        <v>15</v>
      </c>
      <c r="B120" t="s">
        <v>477</v>
      </c>
      <c r="C120" t="s">
        <v>16</v>
      </c>
      <c r="D120">
        <v>4800069</v>
      </c>
      <c r="E120" t="s">
        <v>36</v>
      </c>
      <c r="P120" t="str">
        <f>VLOOKUP(D120,schools!A:B,2,FALSE)</f>
        <v>HARRIS COUNTY</v>
      </c>
    </row>
    <row r="121" spans="1:16" x14ac:dyDescent="0.35">
      <c r="A121" t="s">
        <v>15</v>
      </c>
      <c r="B121" t="s">
        <v>509</v>
      </c>
      <c r="C121" t="s">
        <v>16</v>
      </c>
      <c r="D121">
        <v>4801463</v>
      </c>
      <c r="E121" t="s">
        <v>33</v>
      </c>
      <c r="P121" t="str">
        <f>VLOOKUP(D121,schools!A:B,2,FALSE)</f>
        <v>HARRIS COUNTY</v>
      </c>
    </row>
    <row r="122" spans="1:16" x14ac:dyDescent="0.35">
      <c r="A122" t="s">
        <v>15</v>
      </c>
      <c r="B122" t="s">
        <v>510</v>
      </c>
      <c r="C122" t="s">
        <v>16</v>
      </c>
      <c r="D122">
        <v>4800209</v>
      </c>
      <c r="E122" t="s">
        <v>511</v>
      </c>
      <c r="P122" t="str">
        <f>VLOOKUP(D122,schools!A:B,2,FALSE)</f>
        <v>HARRIS COUNTY</v>
      </c>
    </row>
    <row r="123" spans="1:16" x14ac:dyDescent="0.35">
      <c r="A123" t="s">
        <v>22</v>
      </c>
      <c r="B123" t="s">
        <v>52</v>
      </c>
      <c r="C123" t="s">
        <v>23</v>
      </c>
      <c r="D123">
        <v>4808430</v>
      </c>
      <c r="E123" t="s">
        <v>53</v>
      </c>
      <c r="P123" t="str">
        <f>VLOOKUP(D123,schools!A:B,2,FALSE)</f>
        <v>EL PASO COUNTY</v>
      </c>
    </row>
    <row r="124" spans="1:16" x14ac:dyDescent="0.35">
      <c r="A124" t="s">
        <v>22</v>
      </c>
      <c r="B124" t="s">
        <v>105</v>
      </c>
      <c r="C124" t="s">
        <v>23</v>
      </c>
      <c r="D124">
        <v>4812780</v>
      </c>
      <c r="E124" t="s">
        <v>106</v>
      </c>
      <c r="P124" t="str">
        <f>VLOOKUP(D124,schools!A:B,2,FALSE)</f>
        <v>EL PASO COUNTY</v>
      </c>
    </row>
    <row r="125" spans="1:16" x14ac:dyDescent="0.35">
      <c r="A125" t="s">
        <v>22</v>
      </c>
      <c r="B125" t="s">
        <v>124</v>
      </c>
      <c r="C125" t="s">
        <v>23</v>
      </c>
      <c r="D125">
        <v>4814430</v>
      </c>
      <c r="E125" t="s">
        <v>125</v>
      </c>
      <c r="F125" t="s">
        <v>17</v>
      </c>
      <c r="K125" t="s">
        <v>17</v>
      </c>
      <c r="P125" t="str">
        <f>VLOOKUP(D125,schools!A:B,2,FALSE)</f>
        <v>EL PASO COUNTY</v>
      </c>
    </row>
    <row r="126" spans="1:16" x14ac:dyDescent="0.35">
      <c r="A126" t="s">
        <v>22</v>
      </c>
      <c r="B126" t="s">
        <v>176</v>
      </c>
      <c r="C126" t="s">
        <v>23</v>
      </c>
      <c r="D126">
        <v>4818300</v>
      </c>
      <c r="E126" t="s">
        <v>177</v>
      </c>
      <c r="P126" t="str">
        <f>VLOOKUP(D126,schools!A:B,2,FALSE)</f>
        <v>EL PASO COUNTY</v>
      </c>
    </row>
    <row r="127" spans="1:16" x14ac:dyDescent="0.35">
      <c r="A127" t="s">
        <v>22</v>
      </c>
      <c r="B127" t="s">
        <v>189</v>
      </c>
      <c r="C127" t="s">
        <v>23</v>
      </c>
      <c r="D127">
        <v>4818900</v>
      </c>
      <c r="E127" t="s">
        <v>190</v>
      </c>
      <c r="P127" t="str">
        <f>VLOOKUP(D127,schools!A:B,2,FALSE)</f>
        <v>EL PASO COUNTY</v>
      </c>
    </row>
    <row r="128" spans="1:16" x14ac:dyDescent="0.35">
      <c r="A128" t="s">
        <v>22</v>
      </c>
      <c r="B128" t="s">
        <v>413</v>
      </c>
      <c r="C128" t="s">
        <v>23</v>
      </c>
      <c r="D128">
        <v>4838850</v>
      </c>
      <c r="E128" t="s">
        <v>414</v>
      </c>
      <c r="F128" t="s">
        <v>17</v>
      </c>
      <c r="K128" t="s">
        <v>17</v>
      </c>
      <c r="P128" t="str">
        <f>VLOOKUP(D128,schools!A:B,2,FALSE)</f>
        <v>EL PASO COUNTY</v>
      </c>
    </row>
    <row r="129" spans="1:16" x14ac:dyDescent="0.35">
      <c r="A129" t="s">
        <v>22</v>
      </c>
      <c r="B129" t="s">
        <v>427</v>
      </c>
      <c r="C129" t="s">
        <v>23</v>
      </c>
      <c r="D129">
        <v>4840710</v>
      </c>
      <c r="E129" t="s">
        <v>428</v>
      </c>
      <c r="P129" t="str">
        <f>VLOOKUP(D129,schools!A:B,2,FALSE)</f>
        <v>EL PASO COUNTY</v>
      </c>
    </row>
    <row r="130" spans="1:16" x14ac:dyDescent="0.35">
      <c r="A130" t="s">
        <v>22</v>
      </c>
      <c r="B130" t="s">
        <v>468</v>
      </c>
      <c r="C130" t="s">
        <v>23</v>
      </c>
      <c r="D130">
        <v>4842990</v>
      </c>
      <c r="E130" t="s">
        <v>469</v>
      </c>
      <c r="P130" t="str">
        <f>VLOOKUP(D130,schools!A:B,2,FALSE)</f>
        <v>EL PASO COUNTY</v>
      </c>
    </row>
    <row r="131" spans="1:16" x14ac:dyDescent="0.35">
      <c r="A131" t="s">
        <v>22</v>
      </c>
      <c r="B131" t="s">
        <v>512</v>
      </c>
      <c r="C131" t="s">
        <v>23</v>
      </c>
      <c r="D131">
        <v>4846680</v>
      </c>
      <c r="E131" t="s">
        <v>513</v>
      </c>
      <c r="P131" t="str">
        <f>VLOOKUP(D131,schools!A:B,2,FALSE)</f>
        <v>EL PASO COUNTY</v>
      </c>
    </row>
    <row r="132" spans="1:16" x14ac:dyDescent="0.35">
      <c r="A132" t="s">
        <v>15</v>
      </c>
      <c r="B132" t="s">
        <v>100</v>
      </c>
      <c r="C132" t="s">
        <v>16</v>
      </c>
      <c r="D132">
        <v>4800037</v>
      </c>
      <c r="E132" t="s">
        <v>101</v>
      </c>
      <c r="F132" t="s">
        <v>17</v>
      </c>
      <c r="K132" t="s">
        <v>17</v>
      </c>
      <c r="P132" t="str">
        <f>VLOOKUP(D132,schools!A:B,2,FALSE)</f>
        <v>EL PASO COUNTY</v>
      </c>
    </row>
    <row r="133" spans="1:16" x14ac:dyDescent="0.35">
      <c r="A133" t="s">
        <v>15</v>
      </c>
      <c r="B133" t="s">
        <v>175</v>
      </c>
      <c r="C133" t="s">
        <v>16</v>
      </c>
      <c r="D133">
        <v>4800205</v>
      </c>
      <c r="E133" t="s">
        <v>71</v>
      </c>
      <c r="P133" t="str">
        <f>VLOOKUP(D133,schools!A:B,2,FALSE)</f>
        <v>EL PASO COUNTY</v>
      </c>
    </row>
    <row r="134" spans="1:16" x14ac:dyDescent="0.35">
      <c r="A134" t="s">
        <v>15</v>
      </c>
      <c r="B134" t="s">
        <v>178</v>
      </c>
      <c r="C134" t="s">
        <v>16</v>
      </c>
      <c r="D134">
        <v>4801439</v>
      </c>
      <c r="E134" t="s">
        <v>179</v>
      </c>
      <c r="P134" t="str">
        <f>VLOOKUP(D134,schools!A:B,2,FALSE)</f>
        <v>EL PASO COUNTY</v>
      </c>
    </row>
    <row r="135" spans="1:16" x14ac:dyDescent="0.35">
      <c r="A135" t="s">
        <v>15</v>
      </c>
      <c r="B135" t="s">
        <v>230</v>
      </c>
      <c r="C135" t="s">
        <v>16</v>
      </c>
      <c r="D135">
        <v>4800272</v>
      </c>
      <c r="E135" t="s">
        <v>231</v>
      </c>
      <c r="P135" t="str">
        <f>VLOOKUP(D135,schools!A:B,2,FALSE)</f>
        <v>EL PASO COUNTY</v>
      </c>
    </row>
    <row r="136" spans="1:16" x14ac:dyDescent="0.35">
      <c r="A136" t="s">
        <v>15</v>
      </c>
      <c r="B136" t="s">
        <v>295</v>
      </c>
      <c r="C136" t="s">
        <v>16</v>
      </c>
      <c r="D136">
        <v>4800286</v>
      </c>
      <c r="E136" t="s">
        <v>296</v>
      </c>
      <c r="P136" t="str">
        <f>VLOOKUP(D136,schools!A:B,2,FALSE)</f>
        <v>EL PASO COUNTY</v>
      </c>
    </row>
    <row r="137" spans="1:16" x14ac:dyDescent="0.35">
      <c r="A137" t="s">
        <v>15</v>
      </c>
      <c r="B137" t="s">
        <v>473</v>
      </c>
      <c r="C137" t="s">
        <v>16</v>
      </c>
      <c r="D137">
        <v>4800106</v>
      </c>
      <c r="E137" t="s">
        <v>273</v>
      </c>
      <c r="P137" t="str">
        <f>VLOOKUP(D137,schools!A:B,2,FALSE)</f>
        <v>EL PASO COUNTY</v>
      </c>
    </row>
    <row r="138" spans="1:16" x14ac:dyDescent="0.35">
      <c r="A138" t="s">
        <v>15</v>
      </c>
      <c r="B138" t="s">
        <v>497</v>
      </c>
      <c r="C138" t="s">
        <v>16</v>
      </c>
      <c r="D138">
        <v>4801394</v>
      </c>
      <c r="E138" t="s">
        <v>47</v>
      </c>
      <c r="P138" t="str">
        <f>VLOOKUP(D138,schools!A:B,2,FALSE)</f>
        <v>EL PASO COUNTY</v>
      </c>
    </row>
    <row r="139" spans="1:16" x14ac:dyDescent="0.35">
      <c r="A139" t="s">
        <v>22</v>
      </c>
      <c r="B139" t="s">
        <v>54</v>
      </c>
      <c r="C139" t="s">
        <v>23</v>
      </c>
      <c r="D139">
        <v>4808670</v>
      </c>
      <c r="E139" t="s">
        <v>55</v>
      </c>
      <c r="P139" t="str">
        <f>VLOOKUP(D139,schools!A:B,2,FALSE)</f>
        <v>DENTON COUNTY</v>
      </c>
    </row>
    <row r="140" spans="1:16" x14ac:dyDescent="0.35">
      <c r="A140" t="s">
        <v>22</v>
      </c>
      <c r="B140" t="s">
        <v>63</v>
      </c>
      <c r="C140" t="s">
        <v>23</v>
      </c>
      <c r="D140">
        <v>4808910</v>
      </c>
      <c r="E140" t="s">
        <v>64</v>
      </c>
      <c r="P140" t="str">
        <f>VLOOKUP(D140,schools!A:B,2,FALSE)</f>
        <v>DENTON COUNTY</v>
      </c>
    </row>
    <row r="141" spans="1:16" x14ac:dyDescent="0.35">
      <c r="A141" t="s">
        <v>22</v>
      </c>
      <c r="B141" t="s">
        <v>148</v>
      </c>
      <c r="C141" t="s">
        <v>23</v>
      </c>
      <c r="D141">
        <v>4816740</v>
      </c>
      <c r="E141" t="s">
        <v>149</v>
      </c>
      <c r="P141" t="str">
        <f>VLOOKUP(D141,schools!A:B,2,FALSE)</f>
        <v>DENTON COUNTY</v>
      </c>
    </row>
    <row r="142" spans="1:16" x14ac:dyDescent="0.35">
      <c r="A142" t="s">
        <v>22</v>
      </c>
      <c r="B142" t="s">
        <v>291</v>
      </c>
      <c r="C142" t="s">
        <v>23</v>
      </c>
      <c r="D142">
        <v>4825980</v>
      </c>
      <c r="E142" t="s">
        <v>292</v>
      </c>
      <c r="P142" t="str">
        <f>VLOOKUP(D142,schools!A:B,2,FALSE)</f>
        <v>DENTON COUNTY</v>
      </c>
    </row>
    <row r="143" spans="1:16" x14ac:dyDescent="0.35">
      <c r="A143" t="s">
        <v>22</v>
      </c>
      <c r="B143" t="s">
        <v>307</v>
      </c>
      <c r="C143" t="s">
        <v>23</v>
      </c>
      <c r="D143">
        <v>4826430</v>
      </c>
      <c r="E143" t="s">
        <v>308</v>
      </c>
      <c r="P143" t="str">
        <f>VLOOKUP(D143,schools!A:B,2,FALSE)</f>
        <v>DENTON COUNTY</v>
      </c>
    </row>
    <row r="144" spans="1:16" x14ac:dyDescent="0.35">
      <c r="A144" t="s">
        <v>22</v>
      </c>
      <c r="B144" t="s">
        <v>321</v>
      </c>
      <c r="C144" t="s">
        <v>23</v>
      </c>
      <c r="D144">
        <v>4827300</v>
      </c>
      <c r="E144" t="s">
        <v>322</v>
      </c>
      <c r="P144" t="str">
        <f>VLOOKUP(D144,schools!A:B,2,FALSE)</f>
        <v>DENTON COUNTY</v>
      </c>
    </row>
    <row r="145" spans="1:16" x14ac:dyDescent="0.35">
      <c r="A145" t="s">
        <v>22</v>
      </c>
      <c r="B145" t="s">
        <v>328</v>
      </c>
      <c r="C145" t="s">
        <v>23</v>
      </c>
      <c r="D145">
        <v>4827720</v>
      </c>
      <c r="E145" t="s">
        <v>329</v>
      </c>
      <c r="P145" t="str">
        <f>VLOOKUP(D145,schools!A:B,2,FALSE)</f>
        <v>DENTON COUNTY</v>
      </c>
    </row>
    <row r="146" spans="1:16" x14ac:dyDescent="0.35">
      <c r="A146" t="s">
        <v>22</v>
      </c>
      <c r="B146" t="s">
        <v>367</v>
      </c>
      <c r="C146" t="s">
        <v>23</v>
      </c>
      <c r="D146">
        <v>4833180</v>
      </c>
      <c r="E146" t="s">
        <v>368</v>
      </c>
      <c r="P146" t="str">
        <f>VLOOKUP(D146,schools!A:B,2,FALSE)</f>
        <v>DENTON COUNTY</v>
      </c>
    </row>
    <row r="147" spans="1:16" x14ac:dyDescent="0.35">
      <c r="A147" t="s">
        <v>22</v>
      </c>
      <c r="B147" t="s">
        <v>383</v>
      </c>
      <c r="C147" t="s">
        <v>23</v>
      </c>
      <c r="D147">
        <v>4834920</v>
      </c>
      <c r="E147" t="s">
        <v>384</v>
      </c>
      <c r="P147" t="str">
        <f>VLOOKUP(D147,schools!A:B,2,FALSE)</f>
        <v>DENTON COUNTY</v>
      </c>
    </row>
    <row r="148" spans="1:16" x14ac:dyDescent="0.35">
      <c r="A148" t="s">
        <v>22</v>
      </c>
      <c r="B148" t="s">
        <v>389</v>
      </c>
      <c r="C148" t="s">
        <v>23</v>
      </c>
      <c r="D148">
        <v>4835310</v>
      </c>
      <c r="E148" t="s">
        <v>351</v>
      </c>
      <c r="P148" t="str">
        <f>VLOOKUP(D148,schools!A:B,2,FALSE)</f>
        <v>DENTON COUNTY</v>
      </c>
    </row>
    <row r="149" spans="1:16" x14ac:dyDescent="0.35">
      <c r="A149" t="s">
        <v>22</v>
      </c>
      <c r="B149" t="s">
        <v>415</v>
      </c>
      <c r="C149" t="s">
        <v>23</v>
      </c>
      <c r="D149">
        <v>4839180</v>
      </c>
      <c r="E149" t="s">
        <v>416</v>
      </c>
      <c r="P149" t="str">
        <f>VLOOKUP(D149,schools!A:B,2,FALSE)</f>
        <v>DENTON COUNTY</v>
      </c>
    </row>
    <row r="150" spans="1:16" x14ac:dyDescent="0.35">
      <c r="A150" t="s">
        <v>15</v>
      </c>
      <c r="B150" t="s">
        <v>315</v>
      </c>
      <c r="C150" t="s">
        <v>16</v>
      </c>
      <c r="D150">
        <v>4801420</v>
      </c>
      <c r="E150" t="s">
        <v>316</v>
      </c>
      <c r="P150" t="str">
        <f>VLOOKUP(D150,schools!A:B,2,FALSE)</f>
        <v>DENTON COUNTY</v>
      </c>
    </row>
    <row r="151" spans="1:16" x14ac:dyDescent="0.35">
      <c r="A151" t="s">
        <v>15</v>
      </c>
      <c r="B151" t="s">
        <v>364</v>
      </c>
      <c r="C151" t="s">
        <v>16</v>
      </c>
      <c r="D151">
        <v>4800187</v>
      </c>
      <c r="E151" t="s">
        <v>272</v>
      </c>
      <c r="F151" t="s">
        <v>17</v>
      </c>
      <c r="K151" t="s">
        <v>17</v>
      </c>
      <c r="P151" t="str">
        <f>VLOOKUP(D151,schools!A:B,2,FALSE)</f>
        <v>DENTON COUNTY</v>
      </c>
    </row>
    <row r="152" spans="1:16" x14ac:dyDescent="0.35">
      <c r="A152" t="s">
        <v>15</v>
      </c>
      <c r="B152" t="s">
        <v>475</v>
      </c>
      <c r="C152" t="s">
        <v>16</v>
      </c>
      <c r="D152">
        <v>4801456</v>
      </c>
      <c r="E152" t="s">
        <v>476</v>
      </c>
      <c r="P152" t="str">
        <f>VLOOKUP(D152,schools!A:B,2,FALSE)</f>
        <v>DENTON COUNTY</v>
      </c>
    </row>
    <row r="153" spans="1:16" x14ac:dyDescent="0.35">
      <c r="A153" t="s">
        <v>22</v>
      </c>
      <c r="B153" t="s">
        <v>109</v>
      </c>
      <c r="C153" t="s">
        <v>23</v>
      </c>
      <c r="D153">
        <v>4813050</v>
      </c>
      <c r="E153" t="s">
        <v>110</v>
      </c>
      <c r="P153" t="str">
        <f>VLOOKUP(D153,schools!A:B,2,FALSE)</f>
        <v>DALLAS COUNTY</v>
      </c>
    </row>
    <row r="154" spans="1:16" x14ac:dyDescent="0.35">
      <c r="A154" t="s">
        <v>22</v>
      </c>
      <c r="B154" t="s">
        <v>113</v>
      </c>
      <c r="C154" t="s">
        <v>23</v>
      </c>
      <c r="D154">
        <v>4813230</v>
      </c>
      <c r="E154" t="s">
        <v>114</v>
      </c>
      <c r="F154" t="s">
        <v>17</v>
      </c>
      <c r="K154" t="s">
        <v>17</v>
      </c>
      <c r="P154" t="str">
        <f>VLOOKUP(D154,schools!A:B,2,FALSE)</f>
        <v>DALLAS COUNTY</v>
      </c>
    </row>
    <row r="155" spans="1:16" x14ac:dyDescent="0.35">
      <c r="A155" t="s">
        <v>22</v>
      </c>
      <c r="B155" t="s">
        <v>132</v>
      </c>
      <c r="C155" t="s">
        <v>23</v>
      </c>
      <c r="D155">
        <v>4815210</v>
      </c>
      <c r="E155" t="s">
        <v>133</v>
      </c>
      <c r="P155" t="str">
        <f>VLOOKUP(D155,schools!A:B,2,FALSE)</f>
        <v>DALLAS COUNTY</v>
      </c>
    </row>
    <row r="156" spans="1:16" x14ac:dyDescent="0.35">
      <c r="A156" t="s">
        <v>22</v>
      </c>
      <c r="B156" t="s">
        <v>142</v>
      </c>
      <c r="C156" t="s">
        <v>23</v>
      </c>
      <c r="D156">
        <v>4816230</v>
      </c>
      <c r="E156" t="s">
        <v>143</v>
      </c>
      <c r="F156" t="s">
        <v>17</v>
      </c>
      <c r="K156" t="s">
        <v>17</v>
      </c>
      <c r="P156" t="str">
        <f>VLOOKUP(D156,schools!A:B,2,FALSE)</f>
        <v>DALLAS COUNTY</v>
      </c>
    </row>
    <row r="157" spans="1:16" x14ac:dyDescent="0.35">
      <c r="A157" t="s">
        <v>22</v>
      </c>
      <c r="B157" t="s">
        <v>150</v>
      </c>
      <c r="C157" t="s">
        <v>23</v>
      </c>
      <c r="D157">
        <v>4816860</v>
      </c>
      <c r="E157" t="s">
        <v>151</v>
      </c>
      <c r="P157" t="str">
        <f>VLOOKUP(D157,schools!A:B,2,FALSE)</f>
        <v>DALLAS COUNTY</v>
      </c>
    </row>
    <row r="158" spans="1:16" x14ac:dyDescent="0.35">
      <c r="A158" t="s">
        <v>22</v>
      </c>
      <c r="B158" t="s">
        <v>157</v>
      </c>
      <c r="C158" t="s">
        <v>23</v>
      </c>
      <c r="D158">
        <v>4817640</v>
      </c>
      <c r="E158" t="s">
        <v>158</v>
      </c>
      <c r="P158" t="str">
        <f>VLOOKUP(D158,schools!A:B,2,FALSE)</f>
        <v>DALLAS COUNTY</v>
      </c>
    </row>
    <row r="159" spans="1:16" x14ac:dyDescent="0.35">
      <c r="A159" t="s">
        <v>22</v>
      </c>
      <c r="B159" t="s">
        <v>204</v>
      </c>
      <c r="C159" t="s">
        <v>23</v>
      </c>
      <c r="D159">
        <v>4820340</v>
      </c>
      <c r="E159" t="s">
        <v>205</v>
      </c>
      <c r="P159" t="str">
        <f>VLOOKUP(D159,schools!A:B,2,FALSE)</f>
        <v>DALLAS COUNTY</v>
      </c>
    </row>
    <row r="160" spans="1:16" x14ac:dyDescent="0.35">
      <c r="A160" t="s">
        <v>22</v>
      </c>
      <c r="B160" t="s">
        <v>217</v>
      </c>
      <c r="C160" t="s">
        <v>23</v>
      </c>
      <c r="D160">
        <v>4821420</v>
      </c>
      <c r="E160" t="s">
        <v>218</v>
      </c>
      <c r="P160" t="str">
        <f>VLOOKUP(D160,schools!A:B,2,FALSE)</f>
        <v>DALLAS COUNTY</v>
      </c>
    </row>
    <row r="161" spans="1:16" x14ac:dyDescent="0.35">
      <c r="A161" t="s">
        <v>22</v>
      </c>
      <c r="B161" t="s">
        <v>244</v>
      </c>
      <c r="C161" t="s">
        <v>23</v>
      </c>
      <c r="D161">
        <v>4823250</v>
      </c>
      <c r="E161" t="s">
        <v>245</v>
      </c>
      <c r="P161" t="str">
        <f>VLOOKUP(D161,schools!A:B,2,FALSE)</f>
        <v>DALLAS COUNTY</v>
      </c>
    </row>
    <row r="162" spans="1:16" x14ac:dyDescent="0.35">
      <c r="A162" t="s">
        <v>22</v>
      </c>
      <c r="B162" t="s">
        <v>270</v>
      </c>
      <c r="C162" t="s">
        <v>23</v>
      </c>
      <c r="D162">
        <v>4824420</v>
      </c>
      <c r="E162" t="s">
        <v>271</v>
      </c>
      <c r="P162" t="str">
        <f>VLOOKUP(D162,schools!A:B,2,FALSE)</f>
        <v>DALLAS COUNTY</v>
      </c>
    </row>
    <row r="163" spans="1:16" x14ac:dyDescent="0.35">
      <c r="A163" t="s">
        <v>22</v>
      </c>
      <c r="B163" t="s">
        <v>313</v>
      </c>
      <c r="C163" t="s">
        <v>23</v>
      </c>
      <c r="D163">
        <v>4826670</v>
      </c>
      <c r="E163" t="s">
        <v>314</v>
      </c>
      <c r="P163" t="str">
        <f>VLOOKUP(D163,schools!A:B,2,FALSE)</f>
        <v>DALLAS COUNTY</v>
      </c>
    </row>
    <row r="164" spans="1:16" x14ac:dyDescent="0.35">
      <c r="A164" t="s">
        <v>22</v>
      </c>
      <c r="B164" t="s">
        <v>347</v>
      </c>
      <c r="C164" t="s">
        <v>23</v>
      </c>
      <c r="D164">
        <v>4830390</v>
      </c>
      <c r="E164" t="s">
        <v>348</v>
      </c>
      <c r="P164" t="str">
        <f>VLOOKUP(D164,schools!A:B,2,FALSE)</f>
        <v>DALLAS COUNTY</v>
      </c>
    </row>
    <row r="165" spans="1:16" x14ac:dyDescent="0.35">
      <c r="A165" t="s">
        <v>22</v>
      </c>
      <c r="B165" t="s">
        <v>407</v>
      </c>
      <c r="C165" t="s">
        <v>23</v>
      </c>
      <c r="D165">
        <v>4837020</v>
      </c>
      <c r="E165" t="s">
        <v>408</v>
      </c>
      <c r="F165" t="s">
        <v>17</v>
      </c>
      <c r="K165" t="s">
        <v>17</v>
      </c>
      <c r="P165" t="str">
        <f>VLOOKUP(D165,schools!A:B,2,FALSE)</f>
        <v>DALLAS COUNTY</v>
      </c>
    </row>
    <row r="166" spans="1:16" x14ac:dyDescent="0.35">
      <c r="A166" t="s">
        <v>22</v>
      </c>
      <c r="B166" t="s">
        <v>447</v>
      </c>
      <c r="C166" t="s">
        <v>23</v>
      </c>
      <c r="D166">
        <v>4841880</v>
      </c>
      <c r="E166" t="s">
        <v>448</v>
      </c>
      <c r="P166" t="str">
        <f>VLOOKUP(D166,schools!A:B,2,FALSE)</f>
        <v>DALLAS COUNTY</v>
      </c>
    </row>
    <row r="167" spans="1:16" x14ac:dyDescent="0.35">
      <c r="A167" t="s">
        <v>15</v>
      </c>
      <c r="B167" t="s">
        <v>18</v>
      </c>
      <c r="C167" t="s">
        <v>16</v>
      </c>
      <c r="D167">
        <v>4800203</v>
      </c>
      <c r="E167" t="s">
        <v>19</v>
      </c>
      <c r="F167" t="s">
        <v>17</v>
      </c>
      <c r="K167" t="s">
        <v>17</v>
      </c>
      <c r="P167" t="str">
        <f>VLOOKUP(D167,schools!A:B,2,FALSE)</f>
        <v>DALLAS COUNTY</v>
      </c>
    </row>
    <row r="168" spans="1:16" x14ac:dyDescent="0.35">
      <c r="A168" t="s">
        <v>15</v>
      </c>
      <c r="B168" t="s">
        <v>26</v>
      </c>
      <c r="C168" t="s">
        <v>16</v>
      </c>
      <c r="D168">
        <v>4800093</v>
      </c>
      <c r="E168" t="s">
        <v>27</v>
      </c>
      <c r="P168" t="str">
        <f>VLOOKUP(D168,schools!A:B,2,FALSE)</f>
        <v>DALLAS COUNTY</v>
      </c>
    </row>
    <row r="169" spans="1:16" x14ac:dyDescent="0.35">
      <c r="A169" t="s">
        <v>15</v>
      </c>
      <c r="B169" t="s">
        <v>30</v>
      </c>
      <c r="C169" t="s">
        <v>16</v>
      </c>
      <c r="D169">
        <v>4800090</v>
      </c>
      <c r="E169" t="s">
        <v>31</v>
      </c>
      <c r="F169" t="s">
        <v>17</v>
      </c>
      <c r="K169" t="s">
        <v>17</v>
      </c>
      <c r="P169" t="str">
        <f>VLOOKUP(D169,schools!A:B,2,FALSE)</f>
        <v>DALLAS COUNTY</v>
      </c>
    </row>
    <row r="170" spans="1:16" x14ac:dyDescent="0.35">
      <c r="A170" t="s">
        <v>15</v>
      </c>
      <c r="B170" t="s">
        <v>34</v>
      </c>
      <c r="C170" t="s">
        <v>16</v>
      </c>
      <c r="D170">
        <v>4800041</v>
      </c>
      <c r="E170" t="s">
        <v>35</v>
      </c>
      <c r="F170" t="s">
        <v>17</v>
      </c>
      <c r="K170" t="s">
        <v>17</v>
      </c>
      <c r="P170" t="str">
        <f>VLOOKUP(D170,schools!A:B,2,FALSE)</f>
        <v>DALLAS COUNTY</v>
      </c>
    </row>
    <row r="171" spans="1:16" x14ac:dyDescent="0.35">
      <c r="A171" t="s">
        <v>15</v>
      </c>
      <c r="B171" t="s">
        <v>95</v>
      </c>
      <c r="C171" t="s">
        <v>16</v>
      </c>
      <c r="D171">
        <v>4801462</v>
      </c>
      <c r="E171" t="s">
        <v>96</v>
      </c>
      <c r="P171" t="str">
        <f>VLOOKUP(D171,schools!A:B,2,FALSE)</f>
        <v>DALLAS COUNTY</v>
      </c>
    </row>
    <row r="172" spans="1:16" x14ac:dyDescent="0.35">
      <c r="A172" t="s">
        <v>15</v>
      </c>
      <c r="B172" t="s">
        <v>122</v>
      </c>
      <c r="C172" t="s">
        <v>16</v>
      </c>
      <c r="D172">
        <v>4800288</v>
      </c>
      <c r="E172" t="s">
        <v>123</v>
      </c>
      <c r="P172" t="str">
        <f>VLOOKUP(D172,schools!A:B,2,FALSE)</f>
        <v>DALLAS COUNTY</v>
      </c>
    </row>
    <row r="173" spans="1:16" x14ac:dyDescent="0.35">
      <c r="A173" t="s">
        <v>15</v>
      </c>
      <c r="B173" t="s">
        <v>173</v>
      </c>
      <c r="C173" t="s">
        <v>16</v>
      </c>
      <c r="D173">
        <v>4800186</v>
      </c>
      <c r="E173" t="s">
        <v>174</v>
      </c>
      <c r="F173" t="s">
        <v>17</v>
      </c>
      <c r="K173" t="s">
        <v>17</v>
      </c>
      <c r="P173" t="str">
        <f>VLOOKUP(D173,schools!A:B,2,FALSE)</f>
        <v>DALLAS COUNTY</v>
      </c>
    </row>
    <row r="174" spans="1:16" x14ac:dyDescent="0.35">
      <c r="A174" t="s">
        <v>15</v>
      </c>
      <c r="B174" t="s">
        <v>185</v>
      </c>
      <c r="C174" t="s">
        <v>16</v>
      </c>
      <c r="D174">
        <v>4800236</v>
      </c>
      <c r="E174" t="s">
        <v>186</v>
      </c>
      <c r="P174" t="str">
        <f>VLOOKUP(D174,schools!A:B,2,FALSE)</f>
        <v>DALLAS COUNTY</v>
      </c>
    </row>
    <row r="175" spans="1:16" x14ac:dyDescent="0.35">
      <c r="A175" t="s">
        <v>15</v>
      </c>
      <c r="B175" t="s">
        <v>206</v>
      </c>
      <c r="C175" t="s">
        <v>16</v>
      </c>
      <c r="D175">
        <v>4800184</v>
      </c>
      <c r="E175" t="s">
        <v>207</v>
      </c>
      <c r="P175" t="str">
        <f>VLOOKUP(D175,schools!A:B,2,FALSE)</f>
        <v>DALLAS COUNTY</v>
      </c>
    </row>
    <row r="176" spans="1:16" x14ac:dyDescent="0.35">
      <c r="A176" t="s">
        <v>15</v>
      </c>
      <c r="B176" t="s">
        <v>213</v>
      </c>
      <c r="C176" t="s">
        <v>16</v>
      </c>
      <c r="D176">
        <v>4800237</v>
      </c>
      <c r="E176" t="s">
        <v>214</v>
      </c>
      <c r="P176" t="str">
        <f>VLOOKUP(D176,schools!A:B,2,FALSE)</f>
        <v>DALLAS COUNTY</v>
      </c>
    </row>
    <row r="177" spans="1:16" x14ac:dyDescent="0.35">
      <c r="A177" t="s">
        <v>15</v>
      </c>
      <c r="B177" t="s">
        <v>266</v>
      </c>
      <c r="C177" t="s">
        <v>16</v>
      </c>
      <c r="D177">
        <v>4800204</v>
      </c>
      <c r="E177" t="s">
        <v>267</v>
      </c>
      <c r="P177" t="str">
        <f>VLOOKUP(D177,schools!A:B,2,FALSE)</f>
        <v>DALLAS COUNTY</v>
      </c>
    </row>
    <row r="178" spans="1:16" x14ac:dyDescent="0.35">
      <c r="A178" t="s">
        <v>15</v>
      </c>
      <c r="B178" t="s">
        <v>268</v>
      </c>
      <c r="C178" t="s">
        <v>16</v>
      </c>
      <c r="D178">
        <v>4801440</v>
      </c>
      <c r="E178" t="s">
        <v>269</v>
      </c>
      <c r="F178" t="s">
        <v>17</v>
      </c>
      <c r="K178" t="s">
        <v>17</v>
      </c>
      <c r="P178" t="str">
        <f>VLOOKUP(D178,schools!A:B,2,FALSE)</f>
        <v>DALLAS COUNTY</v>
      </c>
    </row>
    <row r="179" spans="1:16" x14ac:dyDescent="0.35">
      <c r="A179" t="s">
        <v>15</v>
      </c>
      <c r="B179" t="s">
        <v>274</v>
      </c>
      <c r="C179" t="s">
        <v>16</v>
      </c>
      <c r="D179">
        <v>4800098</v>
      </c>
      <c r="E179" t="s">
        <v>275</v>
      </c>
      <c r="P179" t="str">
        <f>VLOOKUP(D179,schools!A:B,2,FALSE)</f>
        <v>DALLAS COUNTY</v>
      </c>
    </row>
    <row r="180" spans="1:16" x14ac:dyDescent="0.35">
      <c r="A180" t="s">
        <v>15</v>
      </c>
      <c r="B180" t="s">
        <v>293</v>
      </c>
      <c r="C180" t="s">
        <v>16</v>
      </c>
      <c r="D180">
        <v>4800270</v>
      </c>
      <c r="E180" t="s">
        <v>294</v>
      </c>
      <c r="F180" t="s">
        <v>17</v>
      </c>
      <c r="K180" t="s">
        <v>17</v>
      </c>
      <c r="P180" t="str">
        <f>VLOOKUP(D180,schools!A:B,2,FALSE)</f>
        <v>DALLAS COUNTY</v>
      </c>
    </row>
    <row r="181" spans="1:16" x14ac:dyDescent="0.35">
      <c r="A181" t="s">
        <v>15</v>
      </c>
      <c r="B181" t="s">
        <v>318</v>
      </c>
      <c r="C181" t="s">
        <v>16</v>
      </c>
      <c r="D181">
        <v>4801428</v>
      </c>
      <c r="E181" t="s">
        <v>99</v>
      </c>
      <c r="P181" t="str">
        <f>VLOOKUP(D181,schools!A:B,2,FALSE)</f>
        <v>DALLAS COUNTY</v>
      </c>
    </row>
    <row r="182" spans="1:16" x14ac:dyDescent="0.35">
      <c r="A182" t="s">
        <v>15</v>
      </c>
      <c r="B182" t="s">
        <v>323</v>
      </c>
      <c r="C182" t="s">
        <v>16</v>
      </c>
      <c r="D182">
        <v>4800055</v>
      </c>
      <c r="E182" t="s">
        <v>324</v>
      </c>
      <c r="F182" t="s">
        <v>17</v>
      </c>
      <c r="K182" t="s">
        <v>17</v>
      </c>
      <c r="P182" t="str">
        <f>VLOOKUP(D182,schools!A:B,2,FALSE)</f>
        <v>DALLAS COUNTY</v>
      </c>
    </row>
    <row r="183" spans="1:16" x14ac:dyDescent="0.35">
      <c r="A183" t="s">
        <v>15</v>
      </c>
      <c r="B183" t="s">
        <v>333</v>
      </c>
      <c r="C183" t="s">
        <v>16</v>
      </c>
      <c r="D183">
        <v>4801415</v>
      </c>
      <c r="E183" t="s">
        <v>334</v>
      </c>
      <c r="P183" t="str">
        <f>VLOOKUP(D183,schools!A:B,2,FALSE)</f>
        <v>DALLAS COUNTY</v>
      </c>
    </row>
    <row r="184" spans="1:16" x14ac:dyDescent="0.35">
      <c r="A184" t="s">
        <v>15</v>
      </c>
      <c r="B184" t="s">
        <v>369</v>
      </c>
      <c r="C184" t="s">
        <v>16</v>
      </c>
      <c r="D184">
        <v>4800072</v>
      </c>
      <c r="E184" t="s">
        <v>370</v>
      </c>
      <c r="P184" t="str">
        <f>VLOOKUP(D184,schools!A:B,2,FALSE)</f>
        <v>DALLAS COUNTY</v>
      </c>
    </row>
    <row r="185" spans="1:16" x14ac:dyDescent="0.35">
      <c r="A185" t="s">
        <v>15</v>
      </c>
      <c r="B185" t="s">
        <v>371</v>
      </c>
      <c r="C185" t="s">
        <v>16</v>
      </c>
      <c r="D185">
        <v>4800201</v>
      </c>
      <c r="E185" t="s">
        <v>372</v>
      </c>
      <c r="P185" t="str">
        <f>VLOOKUP(D185,schools!A:B,2,FALSE)</f>
        <v>DALLAS COUNTY</v>
      </c>
    </row>
    <row r="186" spans="1:16" x14ac:dyDescent="0.35">
      <c r="A186" t="s">
        <v>15</v>
      </c>
      <c r="B186" t="s">
        <v>377</v>
      </c>
      <c r="C186" t="s">
        <v>16</v>
      </c>
      <c r="D186">
        <v>4800029</v>
      </c>
      <c r="E186" t="s">
        <v>378</v>
      </c>
      <c r="P186" t="str">
        <f>VLOOKUP(D186,schools!A:B,2,FALSE)</f>
        <v>DALLAS COUNTY</v>
      </c>
    </row>
    <row r="187" spans="1:16" x14ac:dyDescent="0.35">
      <c r="A187" t="s">
        <v>15</v>
      </c>
      <c r="B187" t="s">
        <v>385</v>
      </c>
      <c r="C187" t="s">
        <v>16</v>
      </c>
      <c r="D187">
        <v>4801451</v>
      </c>
      <c r="E187" t="s">
        <v>386</v>
      </c>
      <c r="P187" t="str">
        <f>VLOOKUP(D187,schools!A:B,2,FALSE)</f>
        <v>DALLAS COUNTY</v>
      </c>
    </row>
    <row r="188" spans="1:16" x14ac:dyDescent="0.35">
      <c r="A188" t="s">
        <v>15</v>
      </c>
      <c r="B188" t="s">
        <v>409</v>
      </c>
      <c r="C188" t="s">
        <v>16</v>
      </c>
      <c r="D188">
        <v>4800271</v>
      </c>
      <c r="E188" t="s">
        <v>410</v>
      </c>
      <c r="P188" t="str">
        <f>VLOOKUP(D188,schools!A:B,2,FALSE)</f>
        <v>DALLAS COUNTY</v>
      </c>
    </row>
    <row r="189" spans="1:16" x14ac:dyDescent="0.35">
      <c r="A189" t="s">
        <v>15</v>
      </c>
      <c r="B189" t="s">
        <v>444</v>
      </c>
      <c r="C189" t="s">
        <v>16</v>
      </c>
      <c r="D189">
        <v>4800248</v>
      </c>
      <c r="E189" t="s">
        <v>93</v>
      </c>
      <c r="P189" t="str">
        <f>VLOOKUP(D189,schools!A:B,2,FALSE)</f>
        <v>DALLAS COUNTY</v>
      </c>
    </row>
    <row r="190" spans="1:16" x14ac:dyDescent="0.35">
      <c r="A190" t="s">
        <v>15</v>
      </c>
      <c r="B190" t="s">
        <v>449</v>
      </c>
      <c r="C190" t="s">
        <v>16</v>
      </c>
      <c r="D190">
        <v>4800016</v>
      </c>
      <c r="E190" t="s">
        <v>450</v>
      </c>
      <c r="P190" t="str">
        <f>VLOOKUP(D190,schools!A:B,2,FALSE)</f>
        <v>DALLAS COUNTY</v>
      </c>
    </row>
    <row r="191" spans="1:16" x14ac:dyDescent="0.35">
      <c r="A191" t="s">
        <v>15</v>
      </c>
      <c r="B191" t="s">
        <v>471</v>
      </c>
      <c r="C191" t="s">
        <v>16</v>
      </c>
      <c r="D191">
        <v>4800092</v>
      </c>
      <c r="E191" t="s">
        <v>472</v>
      </c>
      <c r="P191" t="str">
        <f>VLOOKUP(D191,schools!A:B,2,FALSE)</f>
        <v>DALLAS COUNTY</v>
      </c>
    </row>
    <row r="192" spans="1:16" x14ac:dyDescent="0.35">
      <c r="A192" t="s">
        <v>15</v>
      </c>
      <c r="B192" t="s">
        <v>478</v>
      </c>
      <c r="C192" t="s">
        <v>16</v>
      </c>
      <c r="D192">
        <v>4801425</v>
      </c>
      <c r="E192" t="s">
        <v>479</v>
      </c>
      <c r="F192" t="s">
        <v>17</v>
      </c>
      <c r="K192" t="s">
        <v>17</v>
      </c>
      <c r="P192" t="str">
        <f>VLOOKUP(D192,schools!A:B,2,FALSE)</f>
        <v>DALLAS COUNTY</v>
      </c>
    </row>
    <row r="193" spans="1:16" x14ac:dyDescent="0.35">
      <c r="A193" t="s">
        <v>15</v>
      </c>
      <c r="B193" t="s">
        <v>480</v>
      </c>
      <c r="C193" t="s">
        <v>16</v>
      </c>
      <c r="D193">
        <v>4800070</v>
      </c>
      <c r="E193" t="s">
        <v>481</v>
      </c>
      <c r="P193" t="str">
        <f>VLOOKUP(D193,schools!A:B,2,FALSE)</f>
        <v>DALLAS COUNTY</v>
      </c>
    </row>
    <row r="194" spans="1:16" x14ac:dyDescent="0.35">
      <c r="A194" t="s">
        <v>15</v>
      </c>
      <c r="B194" t="s">
        <v>487</v>
      </c>
      <c r="C194" t="s">
        <v>16</v>
      </c>
      <c r="D194">
        <v>4800030</v>
      </c>
      <c r="E194" t="s">
        <v>488</v>
      </c>
      <c r="P194" t="str">
        <f>VLOOKUP(D194,schools!A:B,2,FALSE)</f>
        <v>DALLAS COUNTY</v>
      </c>
    </row>
    <row r="195" spans="1:16" x14ac:dyDescent="0.35">
      <c r="A195" t="s">
        <v>15</v>
      </c>
      <c r="B195" t="s">
        <v>495</v>
      </c>
      <c r="C195" t="s">
        <v>16</v>
      </c>
      <c r="D195">
        <v>4801436</v>
      </c>
      <c r="E195" t="s">
        <v>496</v>
      </c>
      <c r="P195" t="str">
        <f>VLOOKUP(D195,schools!A:B,2,FALSE)</f>
        <v>DALLAS COUNTY</v>
      </c>
    </row>
    <row r="196" spans="1:16" x14ac:dyDescent="0.35">
      <c r="A196" t="s">
        <v>15</v>
      </c>
      <c r="B196" t="s">
        <v>506</v>
      </c>
      <c r="C196" t="s">
        <v>16</v>
      </c>
      <c r="D196">
        <v>4800202</v>
      </c>
      <c r="E196" t="s">
        <v>134</v>
      </c>
      <c r="P196" t="str">
        <f>VLOOKUP(D196,schools!A:B,2,FALSE)</f>
        <v>DALLAS COUNTY</v>
      </c>
    </row>
    <row r="197" spans="1:16" x14ac:dyDescent="0.35">
      <c r="A197" t="s">
        <v>22</v>
      </c>
      <c r="B197" t="s">
        <v>45</v>
      </c>
      <c r="C197" t="s">
        <v>23</v>
      </c>
      <c r="D197">
        <v>4807890</v>
      </c>
      <c r="E197" t="s">
        <v>46</v>
      </c>
      <c r="P197" t="str">
        <f>VLOOKUP(D197,schools!A:B,2,FALSE)</f>
        <v>COLLIN COUNTY</v>
      </c>
    </row>
    <row r="198" spans="1:16" x14ac:dyDescent="0.35">
      <c r="A198" t="s">
        <v>22</v>
      </c>
      <c r="B198" t="s">
        <v>50</v>
      </c>
      <c r="C198" t="s">
        <v>23</v>
      </c>
      <c r="D198">
        <v>4808340</v>
      </c>
      <c r="E198" t="s">
        <v>51</v>
      </c>
      <c r="P198" t="str">
        <f>VLOOKUP(D198,schools!A:B,2,FALSE)</f>
        <v>COLLIN COUNTY</v>
      </c>
    </row>
    <row r="199" spans="1:16" x14ac:dyDescent="0.35">
      <c r="A199" t="s">
        <v>22</v>
      </c>
      <c r="B199" t="s">
        <v>88</v>
      </c>
      <c r="C199" t="s">
        <v>23</v>
      </c>
      <c r="D199">
        <v>4810590</v>
      </c>
      <c r="E199" t="s">
        <v>89</v>
      </c>
      <c r="F199" t="s">
        <v>24</v>
      </c>
      <c r="G199" t="s">
        <v>90</v>
      </c>
      <c r="H199" t="s">
        <v>25</v>
      </c>
      <c r="K199" t="s">
        <v>24</v>
      </c>
      <c r="L199" t="s">
        <v>90</v>
      </c>
      <c r="M199" t="s">
        <v>25</v>
      </c>
      <c r="P199" t="str">
        <f>VLOOKUP(D199,schools!A:B,2,FALSE)</f>
        <v>COLLIN COUNTY</v>
      </c>
    </row>
    <row r="200" spans="1:16" x14ac:dyDescent="0.35">
      <c r="A200" t="s">
        <v>22</v>
      </c>
      <c r="B200" t="s">
        <v>116</v>
      </c>
      <c r="C200" t="s">
        <v>23</v>
      </c>
      <c r="D200">
        <v>4813290</v>
      </c>
      <c r="E200" t="s">
        <v>117</v>
      </c>
      <c r="P200" t="str">
        <f>VLOOKUP(D200,schools!A:B,2,FALSE)</f>
        <v>COLLIN COUNTY</v>
      </c>
    </row>
    <row r="201" spans="1:16" x14ac:dyDescent="0.35">
      <c r="A201" t="s">
        <v>22</v>
      </c>
      <c r="B201" t="s">
        <v>126</v>
      </c>
      <c r="C201" t="s">
        <v>23</v>
      </c>
      <c r="D201">
        <v>4814850</v>
      </c>
      <c r="E201" t="s">
        <v>127</v>
      </c>
      <c r="P201" t="str">
        <f>VLOOKUP(D201,schools!A:B,2,FALSE)</f>
        <v>COLLIN COUNTY</v>
      </c>
    </row>
    <row r="202" spans="1:16" x14ac:dyDescent="0.35">
      <c r="A202" t="s">
        <v>22</v>
      </c>
      <c r="B202" t="s">
        <v>191</v>
      </c>
      <c r="C202" t="s">
        <v>23</v>
      </c>
      <c r="D202">
        <v>4819080</v>
      </c>
      <c r="E202" t="s">
        <v>192</v>
      </c>
      <c r="P202" t="str">
        <f>VLOOKUP(D202,schools!A:B,2,FALSE)</f>
        <v>COLLIN COUNTY</v>
      </c>
    </row>
    <row r="203" spans="1:16" x14ac:dyDescent="0.35">
      <c r="A203" t="s">
        <v>22</v>
      </c>
      <c r="B203" t="s">
        <v>197</v>
      </c>
      <c r="C203" t="s">
        <v>23</v>
      </c>
      <c r="D203">
        <v>4820010</v>
      </c>
      <c r="E203" t="s">
        <v>198</v>
      </c>
      <c r="P203" t="str">
        <f>VLOOKUP(D203,schools!A:B,2,FALSE)</f>
        <v>COLLIN COUNTY</v>
      </c>
    </row>
    <row r="204" spans="1:16" x14ac:dyDescent="0.35">
      <c r="A204" t="s">
        <v>22</v>
      </c>
      <c r="B204" t="s">
        <v>331</v>
      </c>
      <c r="C204" t="s">
        <v>23</v>
      </c>
      <c r="D204">
        <v>4828380</v>
      </c>
      <c r="E204" t="s">
        <v>332</v>
      </c>
      <c r="P204" t="str">
        <f>VLOOKUP(D204,schools!A:B,2,FALSE)</f>
        <v>COLLIN COUNTY</v>
      </c>
    </row>
    <row r="205" spans="1:16" x14ac:dyDescent="0.35">
      <c r="A205" t="s">
        <v>22</v>
      </c>
      <c r="B205" t="s">
        <v>341</v>
      </c>
      <c r="C205" t="s">
        <v>23</v>
      </c>
      <c r="D205">
        <v>4829850</v>
      </c>
      <c r="E205" t="s">
        <v>342</v>
      </c>
      <c r="P205" t="str">
        <f>VLOOKUP(D205,schools!A:B,2,FALSE)</f>
        <v>COLLIN COUNTY</v>
      </c>
    </row>
    <row r="206" spans="1:16" x14ac:dyDescent="0.35">
      <c r="A206" t="s">
        <v>22</v>
      </c>
      <c r="B206" t="s">
        <v>343</v>
      </c>
      <c r="C206" t="s">
        <v>23</v>
      </c>
      <c r="D206">
        <v>4830120</v>
      </c>
      <c r="E206" t="s">
        <v>344</v>
      </c>
      <c r="P206" t="str">
        <f>VLOOKUP(D206,schools!A:B,2,FALSE)</f>
        <v>COLLIN COUNTY</v>
      </c>
    </row>
    <row r="207" spans="1:16" x14ac:dyDescent="0.35">
      <c r="A207" t="s">
        <v>22</v>
      </c>
      <c r="B207" t="s">
        <v>387</v>
      </c>
      <c r="C207" t="s">
        <v>23</v>
      </c>
      <c r="D207">
        <v>4835100</v>
      </c>
      <c r="E207" t="s">
        <v>388</v>
      </c>
      <c r="P207" t="str">
        <f>VLOOKUP(D207,schools!A:B,2,FALSE)</f>
        <v>COLLIN COUNTY</v>
      </c>
    </row>
    <row r="208" spans="1:16" x14ac:dyDescent="0.35">
      <c r="A208" t="s">
        <v>22</v>
      </c>
      <c r="B208" t="s">
        <v>392</v>
      </c>
      <c r="C208" t="s">
        <v>23</v>
      </c>
      <c r="D208">
        <v>4835850</v>
      </c>
      <c r="E208" t="s">
        <v>393</v>
      </c>
      <c r="F208" t="s">
        <v>24</v>
      </c>
      <c r="G208" t="s">
        <v>219</v>
      </c>
      <c r="H208" t="s">
        <v>152</v>
      </c>
      <c r="K208" t="s">
        <v>24</v>
      </c>
      <c r="L208" t="s">
        <v>219</v>
      </c>
      <c r="M208" t="s">
        <v>152</v>
      </c>
      <c r="P208" t="str">
        <f>VLOOKUP(D208,schools!A:B,2,FALSE)</f>
        <v>COLLIN COUNTY</v>
      </c>
    </row>
    <row r="209" spans="1:16" x14ac:dyDescent="0.35">
      <c r="A209" t="s">
        <v>22</v>
      </c>
      <c r="B209" t="s">
        <v>401</v>
      </c>
      <c r="C209" t="s">
        <v>23</v>
      </c>
      <c r="D209">
        <v>4836000</v>
      </c>
      <c r="E209" t="s">
        <v>402</v>
      </c>
      <c r="P209" t="str">
        <f>VLOOKUP(D209,schools!A:B,2,FALSE)</f>
        <v>COLLIN COUNTY</v>
      </c>
    </row>
    <row r="210" spans="1:16" x14ac:dyDescent="0.35">
      <c r="A210" t="s">
        <v>22</v>
      </c>
      <c r="B210" t="s">
        <v>507</v>
      </c>
      <c r="C210" t="s">
        <v>23</v>
      </c>
      <c r="D210" s="1">
        <v>4846530</v>
      </c>
      <c r="E210" t="s">
        <v>508</v>
      </c>
      <c r="P210" t="str">
        <f>VLOOKUP(D210,schools!A:B,2,FALSE)</f>
        <v>COLLIN COUNTY</v>
      </c>
    </row>
    <row r="211" spans="1:16" x14ac:dyDescent="0.35">
      <c r="A211" t="s">
        <v>15</v>
      </c>
      <c r="B211" t="s">
        <v>262</v>
      </c>
      <c r="C211" t="s">
        <v>16</v>
      </c>
      <c r="D211">
        <v>4801429</v>
      </c>
      <c r="E211" t="s">
        <v>263</v>
      </c>
      <c r="P211" t="str">
        <f>VLOOKUP(D211,schools!A:B,2,FALSE)</f>
        <v>COLLIN COUNTY</v>
      </c>
    </row>
    <row r="212" spans="1:16" x14ac:dyDescent="0.35">
      <c r="A212" t="s">
        <v>15</v>
      </c>
      <c r="B212" t="s">
        <v>330</v>
      </c>
      <c r="C212" t="s">
        <v>16</v>
      </c>
      <c r="D212">
        <v>4801452</v>
      </c>
      <c r="E212" t="s">
        <v>179</v>
      </c>
      <c r="P212" t="str">
        <f>VLOOKUP(D212,schools!A:B,2,FALSE)</f>
        <v>COLLIN COUNTY</v>
      </c>
    </row>
    <row r="213" spans="1:16" x14ac:dyDescent="0.35">
      <c r="A213" t="s">
        <v>22</v>
      </c>
      <c r="B213" t="s">
        <v>37</v>
      </c>
      <c r="C213" t="s">
        <v>23</v>
      </c>
      <c r="D213">
        <v>4807590</v>
      </c>
      <c r="E213" t="s">
        <v>38</v>
      </c>
      <c r="P213" t="str">
        <f>VLOOKUP(D213,schools!A:B,2,FALSE)</f>
        <v>BEXAR COUNTY</v>
      </c>
    </row>
    <row r="214" spans="1:16" x14ac:dyDescent="0.35">
      <c r="A214" t="s">
        <v>22</v>
      </c>
      <c r="B214" t="s">
        <v>163</v>
      </c>
      <c r="C214" t="s">
        <v>23</v>
      </c>
      <c r="D214">
        <v>4817850</v>
      </c>
      <c r="E214" t="s">
        <v>164</v>
      </c>
      <c r="P214" t="str">
        <f>VLOOKUP(D214,schools!A:B,2,FALSE)</f>
        <v>BEXAR COUNTY</v>
      </c>
    </row>
    <row r="215" spans="1:16" x14ac:dyDescent="0.35">
      <c r="A215" t="s">
        <v>22</v>
      </c>
      <c r="B215" t="s">
        <v>169</v>
      </c>
      <c r="C215" t="s">
        <v>23</v>
      </c>
      <c r="D215">
        <v>4818150</v>
      </c>
      <c r="E215" t="s">
        <v>170</v>
      </c>
      <c r="P215" t="str">
        <f>VLOOKUP(D215,schools!A:B,2,FALSE)</f>
        <v>BEXAR COUNTY</v>
      </c>
    </row>
    <row r="216" spans="1:16" x14ac:dyDescent="0.35">
      <c r="A216" t="s">
        <v>22</v>
      </c>
      <c r="B216" t="s">
        <v>199</v>
      </c>
      <c r="C216" t="s">
        <v>23</v>
      </c>
      <c r="D216">
        <v>4820160</v>
      </c>
      <c r="E216" t="s">
        <v>200</v>
      </c>
      <c r="P216" t="str">
        <f>VLOOKUP(D216,schools!A:B,2,FALSE)</f>
        <v>BEXAR COUNTY</v>
      </c>
    </row>
    <row r="217" spans="1:16" x14ac:dyDescent="0.35">
      <c r="A217" t="s">
        <v>22</v>
      </c>
      <c r="B217" t="s">
        <v>224</v>
      </c>
      <c r="C217" t="s">
        <v>23</v>
      </c>
      <c r="D217">
        <v>4822470</v>
      </c>
      <c r="E217" t="s">
        <v>225</v>
      </c>
      <c r="F217" t="s">
        <v>17</v>
      </c>
      <c r="K217" t="s">
        <v>17</v>
      </c>
      <c r="P217" t="str">
        <f>VLOOKUP(D217,schools!A:B,2,FALSE)</f>
        <v>BEXAR COUNTY</v>
      </c>
    </row>
    <row r="218" spans="1:16" x14ac:dyDescent="0.35">
      <c r="A218" t="s">
        <v>22</v>
      </c>
      <c r="B218" t="s">
        <v>278</v>
      </c>
      <c r="C218" t="s">
        <v>23</v>
      </c>
      <c r="D218">
        <v>4824990</v>
      </c>
      <c r="E218" t="s">
        <v>279</v>
      </c>
      <c r="P218" t="str">
        <f>VLOOKUP(D218,schools!A:B,2,FALSE)</f>
        <v>BEXAR COUNTY</v>
      </c>
    </row>
    <row r="219" spans="1:16" x14ac:dyDescent="0.35">
      <c r="A219" t="s">
        <v>22</v>
      </c>
      <c r="B219" t="s">
        <v>303</v>
      </c>
      <c r="C219" t="s">
        <v>23</v>
      </c>
      <c r="D219">
        <v>4826370</v>
      </c>
      <c r="E219" t="s">
        <v>304</v>
      </c>
      <c r="F219" t="s">
        <v>17</v>
      </c>
      <c r="K219" t="s">
        <v>17</v>
      </c>
      <c r="P219" t="str">
        <f>VLOOKUP(D219,schools!A:B,2,FALSE)</f>
        <v>BEXAR COUNTY</v>
      </c>
    </row>
    <row r="220" spans="1:16" x14ac:dyDescent="0.35">
      <c r="A220" t="s">
        <v>22</v>
      </c>
      <c r="B220" t="s">
        <v>362</v>
      </c>
      <c r="C220" t="s">
        <v>23</v>
      </c>
      <c r="D220">
        <v>4832940</v>
      </c>
      <c r="E220" t="s">
        <v>363</v>
      </c>
      <c r="P220" t="str">
        <f>VLOOKUP(D220,schools!A:B,2,FALSE)</f>
        <v>BEXAR COUNTY</v>
      </c>
    </row>
    <row r="221" spans="1:16" x14ac:dyDescent="0.35">
      <c r="A221" t="s">
        <v>22</v>
      </c>
      <c r="B221" t="s">
        <v>365</v>
      </c>
      <c r="C221" t="s">
        <v>23</v>
      </c>
      <c r="D221">
        <v>4833120</v>
      </c>
      <c r="E221" t="s">
        <v>366</v>
      </c>
      <c r="F221" t="s">
        <v>17</v>
      </c>
      <c r="K221" t="s">
        <v>17</v>
      </c>
      <c r="P221" t="str">
        <f>VLOOKUP(D221,schools!A:B,2,FALSE)</f>
        <v>BEXAR COUNTY</v>
      </c>
    </row>
    <row r="222" spans="1:16" x14ac:dyDescent="0.35">
      <c r="A222" t="s">
        <v>22</v>
      </c>
      <c r="B222" t="s">
        <v>403</v>
      </c>
      <c r="C222" t="s">
        <v>23</v>
      </c>
      <c r="D222">
        <v>4836450</v>
      </c>
      <c r="E222" t="s">
        <v>94</v>
      </c>
      <c r="P222" t="str">
        <f>VLOOKUP(D222,schools!A:B,2,FALSE)</f>
        <v>BEXAR COUNTY</v>
      </c>
    </row>
    <row r="223" spans="1:16" x14ac:dyDescent="0.35">
      <c r="A223" t="s">
        <v>22</v>
      </c>
      <c r="B223" t="s">
        <v>411</v>
      </c>
      <c r="C223" t="s">
        <v>23</v>
      </c>
      <c r="D223">
        <v>4838730</v>
      </c>
      <c r="E223" t="s">
        <v>412</v>
      </c>
      <c r="F223" t="s">
        <v>17</v>
      </c>
      <c r="K223" t="s">
        <v>17</v>
      </c>
      <c r="P223" t="str">
        <f>VLOOKUP(D223,schools!A:B,2,FALSE)</f>
        <v>BEXAR COUNTY</v>
      </c>
    </row>
    <row r="224" spans="1:16" x14ac:dyDescent="0.35">
      <c r="A224" t="s">
        <v>22</v>
      </c>
      <c r="B224" t="s">
        <v>429</v>
      </c>
      <c r="C224" t="s">
        <v>23</v>
      </c>
      <c r="D224">
        <v>4840740</v>
      </c>
      <c r="E224" t="s">
        <v>430</v>
      </c>
      <c r="P224" t="str">
        <f>VLOOKUP(D224,schools!A:B,2,FALSE)</f>
        <v>BEXAR COUNTY</v>
      </c>
    </row>
    <row r="225" spans="1:16" x14ac:dyDescent="0.35">
      <c r="A225" t="s">
        <v>22</v>
      </c>
      <c r="B225" t="s">
        <v>431</v>
      </c>
      <c r="C225" t="s">
        <v>23</v>
      </c>
      <c r="D225">
        <v>4840680</v>
      </c>
      <c r="E225" t="s">
        <v>432</v>
      </c>
      <c r="P225" t="str">
        <f>VLOOKUP(D225,schools!A:B,2,FALSE)</f>
        <v>BEXAR COUNTY</v>
      </c>
    </row>
    <row r="226" spans="1:16" x14ac:dyDescent="0.35">
      <c r="A226" t="s">
        <v>22</v>
      </c>
      <c r="B226" t="s">
        <v>433</v>
      </c>
      <c r="C226" t="s">
        <v>23</v>
      </c>
      <c r="D226">
        <v>4840920</v>
      </c>
      <c r="E226" t="s">
        <v>434</v>
      </c>
      <c r="P226" t="str">
        <f>VLOOKUP(D226,schools!A:B,2,FALSE)</f>
        <v>BEXAR COUNTY</v>
      </c>
    </row>
    <row r="227" spans="1:16" x14ac:dyDescent="0.35">
      <c r="A227" t="s">
        <v>22</v>
      </c>
      <c r="B227" t="s">
        <v>435</v>
      </c>
      <c r="C227" t="s">
        <v>23</v>
      </c>
      <c r="D227">
        <v>4840950</v>
      </c>
      <c r="E227" t="s">
        <v>436</v>
      </c>
      <c r="P227" t="str">
        <f>VLOOKUP(D227,schools!A:B,2,FALSE)</f>
        <v>BEXAR COUNTY</v>
      </c>
    </row>
    <row r="228" spans="1:16" x14ac:dyDescent="0.35">
      <c r="A228" t="s">
        <v>15</v>
      </c>
      <c r="B228" t="s">
        <v>74</v>
      </c>
      <c r="C228" t="s">
        <v>16</v>
      </c>
      <c r="D228">
        <v>4801438</v>
      </c>
      <c r="E228" t="s">
        <v>75</v>
      </c>
      <c r="P228" t="str">
        <f>VLOOKUP(D228,schools!A:B,2,FALSE)</f>
        <v>BEXAR COUNTY</v>
      </c>
    </row>
    <row r="229" spans="1:16" x14ac:dyDescent="0.35">
      <c r="A229" t="s">
        <v>15</v>
      </c>
      <c r="B229" t="s">
        <v>80</v>
      </c>
      <c r="C229" t="s">
        <v>16</v>
      </c>
      <c r="D229">
        <v>4800077</v>
      </c>
      <c r="E229" t="s">
        <v>81</v>
      </c>
      <c r="P229" t="str">
        <f>VLOOKUP(D229,schools!A:B,2,FALSE)</f>
        <v>BEXAR COUNTY</v>
      </c>
    </row>
    <row r="230" spans="1:16" x14ac:dyDescent="0.35">
      <c r="A230" t="s">
        <v>15</v>
      </c>
      <c r="B230" t="s">
        <v>97</v>
      </c>
      <c r="C230" t="s">
        <v>16</v>
      </c>
      <c r="D230">
        <v>4800268</v>
      </c>
      <c r="E230" t="s">
        <v>98</v>
      </c>
      <c r="F230" t="s">
        <v>17</v>
      </c>
      <c r="K230" t="s">
        <v>17</v>
      </c>
      <c r="P230" t="str">
        <f>VLOOKUP(D230,schools!A:B,2,FALSE)</f>
        <v>BEXAR COUNTY</v>
      </c>
    </row>
    <row r="231" spans="1:16" x14ac:dyDescent="0.35">
      <c r="A231" t="s">
        <v>15</v>
      </c>
      <c r="B231" t="s">
        <v>128</v>
      </c>
      <c r="C231" t="s">
        <v>16</v>
      </c>
      <c r="D231">
        <v>4801457</v>
      </c>
      <c r="E231" t="s">
        <v>129</v>
      </c>
      <c r="F231" t="s">
        <v>17</v>
      </c>
      <c r="K231" t="s">
        <v>17</v>
      </c>
      <c r="P231" t="str">
        <f>VLOOKUP(D231,schools!A:B,2,FALSE)</f>
        <v>BEXAR COUNTY</v>
      </c>
    </row>
    <row r="232" spans="1:16" x14ac:dyDescent="0.35">
      <c r="A232" t="s">
        <v>15</v>
      </c>
      <c r="B232" t="s">
        <v>180</v>
      </c>
      <c r="C232" t="s">
        <v>16</v>
      </c>
      <c r="D232">
        <v>4801435</v>
      </c>
      <c r="E232" t="s">
        <v>181</v>
      </c>
      <c r="F232" t="s">
        <v>17</v>
      </c>
      <c r="K232" t="s">
        <v>17</v>
      </c>
      <c r="P232" t="str">
        <f>VLOOKUP(D232,schools!A:B,2,FALSE)</f>
        <v>BEXAR COUNTY</v>
      </c>
    </row>
    <row r="233" spans="1:16" x14ac:dyDescent="0.35">
      <c r="A233" t="s">
        <v>15</v>
      </c>
      <c r="B233" t="s">
        <v>208</v>
      </c>
      <c r="C233" t="s">
        <v>16</v>
      </c>
      <c r="D233">
        <v>4800014</v>
      </c>
      <c r="E233" t="s">
        <v>209</v>
      </c>
      <c r="F233" t="s">
        <v>24</v>
      </c>
      <c r="G233" t="s">
        <v>85</v>
      </c>
      <c r="H233" t="s">
        <v>210</v>
      </c>
      <c r="K233" t="s">
        <v>24</v>
      </c>
      <c r="L233" t="s">
        <v>85</v>
      </c>
      <c r="M233" t="s">
        <v>210</v>
      </c>
      <c r="P233" t="str">
        <f>VLOOKUP(D233,schools!A:B,2,FALSE)</f>
        <v>BEXAR COUNTY</v>
      </c>
    </row>
    <row r="234" spans="1:16" x14ac:dyDescent="0.35">
      <c r="A234" t="s">
        <v>15</v>
      </c>
      <c r="B234" t="s">
        <v>222</v>
      </c>
      <c r="C234" t="s">
        <v>16</v>
      </c>
      <c r="D234">
        <v>4801441</v>
      </c>
      <c r="E234" t="s">
        <v>223</v>
      </c>
      <c r="P234" t="str">
        <f>VLOOKUP(D234,schools!A:B,2,FALSE)</f>
        <v>BEXAR COUNTY</v>
      </c>
    </row>
    <row r="235" spans="1:16" x14ac:dyDescent="0.35">
      <c r="A235" t="s">
        <v>15</v>
      </c>
      <c r="B235" t="s">
        <v>232</v>
      </c>
      <c r="C235" t="s">
        <v>16</v>
      </c>
      <c r="D235">
        <v>4800266</v>
      </c>
      <c r="E235" t="s">
        <v>233</v>
      </c>
      <c r="P235" t="str">
        <f>VLOOKUP(D235,schools!A:B,2,FALSE)</f>
        <v>BEXAR COUNTY</v>
      </c>
    </row>
    <row r="236" spans="1:16" x14ac:dyDescent="0.35">
      <c r="A236" t="s">
        <v>15</v>
      </c>
      <c r="B236" t="s">
        <v>238</v>
      </c>
      <c r="C236" t="s">
        <v>16</v>
      </c>
      <c r="D236">
        <v>4801412</v>
      </c>
      <c r="E236" t="s">
        <v>239</v>
      </c>
      <c r="P236" t="str">
        <f>VLOOKUP(D236,schools!A:B,2,FALSE)</f>
        <v>BEXAR COUNTY</v>
      </c>
    </row>
    <row r="237" spans="1:16" x14ac:dyDescent="0.35">
      <c r="A237" t="s">
        <v>15</v>
      </c>
      <c r="B237" t="s">
        <v>240</v>
      </c>
      <c r="C237" t="s">
        <v>16</v>
      </c>
      <c r="D237">
        <v>4800080</v>
      </c>
      <c r="E237" t="s">
        <v>241</v>
      </c>
      <c r="P237" t="str">
        <f>VLOOKUP(D237,schools!A:B,2,FALSE)</f>
        <v>BEXAR COUNTY</v>
      </c>
    </row>
    <row r="238" spans="1:16" x14ac:dyDescent="0.35">
      <c r="A238" t="s">
        <v>15</v>
      </c>
      <c r="B238" t="s">
        <v>264</v>
      </c>
      <c r="C238" t="s">
        <v>16</v>
      </c>
      <c r="D238">
        <v>4800053</v>
      </c>
      <c r="E238" t="s">
        <v>265</v>
      </c>
      <c r="P238" t="str">
        <f>VLOOKUP(D238,schools!A:B,2,FALSE)</f>
        <v>BEXAR COUNTY</v>
      </c>
    </row>
    <row r="239" spans="1:16" x14ac:dyDescent="0.35">
      <c r="A239" t="s">
        <v>15</v>
      </c>
      <c r="B239" t="s">
        <v>276</v>
      </c>
      <c r="C239" t="s">
        <v>16</v>
      </c>
      <c r="D239">
        <v>4800179</v>
      </c>
      <c r="E239" t="s">
        <v>277</v>
      </c>
      <c r="P239" t="str">
        <f>VLOOKUP(D239,schools!A:B,2,FALSE)</f>
        <v>BEXAR COUNTY</v>
      </c>
    </row>
    <row r="240" spans="1:16" x14ac:dyDescent="0.35">
      <c r="A240" t="s">
        <v>15</v>
      </c>
      <c r="B240" t="s">
        <v>325</v>
      </c>
      <c r="C240" t="s">
        <v>16</v>
      </c>
      <c r="D240">
        <v>4800246</v>
      </c>
      <c r="E240" t="s">
        <v>326</v>
      </c>
      <c r="P240" t="str">
        <f>VLOOKUP(D240,schools!A:B,2,FALSE)</f>
        <v>BEXAR COUNTY</v>
      </c>
    </row>
    <row r="241" spans="1:16" x14ac:dyDescent="0.35">
      <c r="A241" t="s">
        <v>15</v>
      </c>
      <c r="B241" t="s">
        <v>359</v>
      </c>
      <c r="C241" t="s">
        <v>16</v>
      </c>
      <c r="D241">
        <v>4800061</v>
      </c>
      <c r="E241" t="s">
        <v>360</v>
      </c>
      <c r="P241" t="str">
        <f>VLOOKUP(D241,schools!A:B,2,FALSE)</f>
        <v>BEXAR COUNTY</v>
      </c>
    </row>
    <row r="242" spans="1:16" x14ac:dyDescent="0.35">
      <c r="A242" t="s">
        <v>15</v>
      </c>
      <c r="B242" t="s">
        <v>390</v>
      </c>
      <c r="C242" t="s">
        <v>16</v>
      </c>
      <c r="D242">
        <v>4800004</v>
      </c>
      <c r="E242" t="s">
        <v>137</v>
      </c>
      <c r="P242" t="str">
        <f>VLOOKUP(D242,schools!A:B,2,FALSE)</f>
        <v>BEXAR COUNTY</v>
      </c>
    </row>
    <row r="243" spans="1:16" x14ac:dyDescent="0.35">
      <c r="A243" t="s">
        <v>15</v>
      </c>
      <c r="B243" t="s">
        <v>391</v>
      </c>
      <c r="C243" t="s">
        <v>16</v>
      </c>
      <c r="D243">
        <v>4800059</v>
      </c>
      <c r="E243" t="s">
        <v>284</v>
      </c>
      <c r="P243" t="str">
        <f>VLOOKUP(D243,schools!A:B,2,FALSE)</f>
        <v>BEXAR COUNTY</v>
      </c>
    </row>
    <row r="244" spans="1:16" x14ac:dyDescent="0.35">
      <c r="A244" t="s">
        <v>15</v>
      </c>
      <c r="B244" t="s">
        <v>417</v>
      </c>
      <c r="C244" t="s">
        <v>16</v>
      </c>
      <c r="D244">
        <v>4800062</v>
      </c>
      <c r="E244" t="s">
        <v>418</v>
      </c>
      <c r="P244" t="str">
        <f>VLOOKUP(D244,schools!A:B,2,FALSE)</f>
        <v>BEXAR COUNTY</v>
      </c>
    </row>
    <row r="245" spans="1:16" x14ac:dyDescent="0.35">
      <c r="A245" t="s">
        <v>15</v>
      </c>
      <c r="B245" t="s">
        <v>419</v>
      </c>
      <c r="C245" t="s">
        <v>16</v>
      </c>
      <c r="D245">
        <v>4800258</v>
      </c>
      <c r="E245" t="s">
        <v>420</v>
      </c>
      <c r="P245" t="str">
        <f>VLOOKUP(D245,schools!A:B,2,FALSE)</f>
        <v>BEXAR COUNTY</v>
      </c>
    </row>
    <row r="246" spans="1:16" x14ac:dyDescent="0.35">
      <c r="A246" t="s">
        <v>15</v>
      </c>
      <c r="B246" t="s">
        <v>421</v>
      </c>
      <c r="C246" t="s">
        <v>16</v>
      </c>
      <c r="D246">
        <v>4801400</v>
      </c>
      <c r="E246" t="s">
        <v>422</v>
      </c>
      <c r="P246" t="str">
        <f>VLOOKUP(D246,schools!A:B,2,FALSE)</f>
        <v>BEXAR COUNTY</v>
      </c>
    </row>
    <row r="247" spans="1:16" x14ac:dyDescent="0.35">
      <c r="A247" t="s">
        <v>15</v>
      </c>
      <c r="B247" t="s">
        <v>437</v>
      </c>
      <c r="C247" t="s">
        <v>16</v>
      </c>
      <c r="D247">
        <v>4800063</v>
      </c>
      <c r="E247" t="s">
        <v>394</v>
      </c>
      <c r="F247" t="s">
        <v>17</v>
      </c>
      <c r="K247" t="s">
        <v>17</v>
      </c>
      <c r="P247" t="str">
        <f>VLOOKUP(D247,schools!A:B,2,FALSE)</f>
        <v>BEXAR COUNTY</v>
      </c>
    </row>
  </sheetData>
  <autoFilter ref="A1:R247" xr:uid="{00000000-0001-0000-0000-000000000000}">
    <sortState xmlns:xlrd2="http://schemas.microsoft.com/office/spreadsheetml/2017/richdata2" ref="A2:R247">
      <sortCondition descending="1" ref="P1:P247"/>
    </sortState>
  </autoFilter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C9F10-43C8-43E6-95ED-DDCE1F7A5FB1}">
  <dimension ref="A1:E270"/>
  <sheetViews>
    <sheetView workbookViewId="0">
      <pane ySplit="1" topLeftCell="A23" activePane="bottomLeft" state="frozen"/>
      <selection pane="bottomLeft" activeCell="I34" sqref="I34"/>
    </sheetView>
  </sheetViews>
  <sheetFormatPr defaultRowHeight="14.5" x14ac:dyDescent="0.35"/>
  <sheetData>
    <row r="1" spans="1:5" x14ac:dyDescent="0.35">
      <c r="A1" t="s">
        <v>516</v>
      </c>
      <c r="B1" t="s">
        <v>517</v>
      </c>
      <c r="C1" t="s">
        <v>518</v>
      </c>
      <c r="D1" t="s">
        <v>519</v>
      </c>
      <c r="E1" t="s">
        <v>520</v>
      </c>
    </row>
    <row r="2" spans="1:5" x14ac:dyDescent="0.35">
      <c r="A2">
        <v>4800004</v>
      </c>
      <c r="B2" t="s">
        <v>521</v>
      </c>
      <c r="C2">
        <v>15801</v>
      </c>
      <c r="D2" t="s">
        <v>522</v>
      </c>
      <c r="E2" t="s">
        <v>523</v>
      </c>
    </row>
    <row r="3" spans="1:5" x14ac:dyDescent="0.35">
      <c r="A3">
        <v>4800014</v>
      </c>
      <c r="B3" t="s">
        <v>521</v>
      </c>
      <c r="C3">
        <v>15802</v>
      </c>
      <c r="D3" t="s">
        <v>524</v>
      </c>
      <c r="E3" t="s">
        <v>523</v>
      </c>
    </row>
    <row r="4" spans="1:5" x14ac:dyDescent="0.35">
      <c r="A4">
        <v>4800061</v>
      </c>
      <c r="B4" t="s">
        <v>521</v>
      </c>
      <c r="C4">
        <v>15805</v>
      </c>
      <c r="D4" t="s">
        <v>525</v>
      </c>
      <c r="E4" t="s">
        <v>523</v>
      </c>
    </row>
    <row r="5" spans="1:5" x14ac:dyDescent="0.35">
      <c r="A5">
        <v>4800062</v>
      </c>
      <c r="B5" t="s">
        <v>521</v>
      </c>
      <c r="C5">
        <v>15806</v>
      </c>
      <c r="D5" t="s">
        <v>526</v>
      </c>
      <c r="E5" t="s">
        <v>523</v>
      </c>
    </row>
    <row r="6" spans="1:5" x14ac:dyDescent="0.35">
      <c r="A6">
        <v>4800063</v>
      </c>
      <c r="B6" t="s">
        <v>521</v>
      </c>
      <c r="C6">
        <v>15807</v>
      </c>
      <c r="D6" t="s">
        <v>527</v>
      </c>
      <c r="E6" t="s">
        <v>523</v>
      </c>
    </row>
    <row r="7" spans="1:5" x14ac:dyDescent="0.35">
      <c r="A7">
        <v>4800053</v>
      </c>
      <c r="B7" t="s">
        <v>521</v>
      </c>
      <c r="C7">
        <v>15808</v>
      </c>
      <c r="D7" t="s">
        <v>528</v>
      </c>
      <c r="E7" t="s">
        <v>523</v>
      </c>
    </row>
    <row r="8" spans="1:5" x14ac:dyDescent="0.35">
      <c r="A8">
        <v>4800077</v>
      </c>
      <c r="B8" t="s">
        <v>521</v>
      </c>
      <c r="C8">
        <v>15809</v>
      </c>
      <c r="D8" t="s">
        <v>529</v>
      </c>
      <c r="E8" t="s">
        <v>523</v>
      </c>
    </row>
    <row r="9" spans="1:5" x14ac:dyDescent="0.35">
      <c r="A9">
        <v>4800059</v>
      </c>
      <c r="B9" t="s">
        <v>521</v>
      </c>
      <c r="C9">
        <v>15814</v>
      </c>
      <c r="D9" t="s">
        <v>530</v>
      </c>
      <c r="E9" t="s">
        <v>523</v>
      </c>
    </row>
    <row r="10" spans="1:5" x14ac:dyDescent="0.35">
      <c r="A10">
        <v>4800080</v>
      </c>
      <c r="B10" t="s">
        <v>521</v>
      </c>
      <c r="C10">
        <v>15815</v>
      </c>
      <c r="D10" t="s">
        <v>531</v>
      </c>
      <c r="E10" t="s">
        <v>523</v>
      </c>
    </row>
    <row r="11" spans="1:5" x14ac:dyDescent="0.35">
      <c r="A11">
        <v>4800179</v>
      </c>
      <c r="B11" t="s">
        <v>521</v>
      </c>
      <c r="C11">
        <v>15822</v>
      </c>
      <c r="D11" t="s">
        <v>532</v>
      </c>
      <c r="E11" t="s">
        <v>523</v>
      </c>
    </row>
    <row r="12" spans="1:5" x14ac:dyDescent="0.35">
      <c r="A12">
        <v>4800246</v>
      </c>
      <c r="B12" t="s">
        <v>521</v>
      </c>
      <c r="C12">
        <v>15825</v>
      </c>
      <c r="D12" t="s">
        <v>533</v>
      </c>
      <c r="E12" t="s">
        <v>523</v>
      </c>
    </row>
    <row r="13" spans="1:5" x14ac:dyDescent="0.35">
      <c r="A13">
        <v>4800258</v>
      </c>
      <c r="B13" t="s">
        <v>521</v>
      </c>
      <c r="C13">
        <v>15827</v>
      </c>
      <c r="D13" t="s">
        <v>534</v>
      </c>
      <c r="E13" t="s">
        <v>523</v>
      </c>
    </row>
    <row r="14" spans="1:5" x14ac:dyDescent="0.35">
      <c r="A14">
        <v>4800266</v>
      </c>
      <c r="B14" t="s">
        <v>521</v>
      </c>
      <c r="C14">
        <v>15828</v>
      </c>
      <c r="D14" t="s">
        <v>535</v>
      </c>
      <c r="E14" t="s">
        <v>523</v>
      </c>
    </row>
    <row r="15" spans="1:5" x14ac:dyDescent="0.35">
      <c r="A15">
        <v>4800268</v>
      </c>
      <c r="B15" t="s">
        <v>521</v>
      </c>
      <c r="C15">
        <v>15830</v>
      </c>
      <c r="D15" t="s">
        <v>536</v>
      </c>
      <c r="E15" t="s">
        <v>523</v>
      </c>
    </row>
    <row r="16" spans="1:5" x14ac:dyDescent="0.35">
      <c r="A16">
        <v>4801400</v>
      </c>
      <c r="B16" t="s">
        <v>521</v>
      </c>
      <c r="C16">
        <v>15831</v>
      </c>
      <c r="D16" t="s">
        <v>537</v>
      </c>
      <c r="E16" t="s">
        <v>523</v>
      </c>
    </row>
    <row r="17" spans="1:5" x14ac:dyDescent="0.35">
      <c r="A17">
        <v>4801412</v>
      </c>
      <c r="B17" t="s">
        <v>521</v>
      </c>
      <c r="C17">
        <v>15833</v>
      </c>
      <c r="D17" t="s">
        <v>538</v>
      </c>
      <c r="E17" t="s">
        <v>523</v>
      </c>
    </row>
    <row r="18" spans="1:5" x14ac:dyDescent="0.35">
      <c r="A18">
        <v>4801438</v>
      </c>
      <c r="B18" t="s">
        <v>521</v>
      </c>
      <c r="C18">
        <v>15834</v>
      </c>
      <c r="D18" t="s">
        <v>539</v>
      </c>
      <c r="E18" t="s">
        <v>523</v>
      </c>
    </row>
    <row r="19" spans="1:5" x14ac:dyDescent="0.35">
      <c r="A19">
        <v>4801441</v>
      </c>
      <c r="B19" t="s">
        <v>521</v>
      </c>
      <c r="C19">
        <v>15835</v>
      </c>
      <c r="D19" t="s">
        <v>540</v>
      </c>
      <c r="E19" t="s">
        <v>523</v>
      </c>
    </row>
    <row r="20" spans="1:5" x14ac:dyDescent="0.35">
      <c r="A20">
        <v>4801435</v>
      </c>
      <c r="B20" t="s">
        <v>521</v>
      </c>
      <c r="C20">
        <v>15836</v>
      </c>
      <c r="D20" t="s">
        <v>541</v>
      </c>
      <c r="E20" t="s">
        <v>523</v>
      </c>
    </row>
    <row r="21" spans="1:5" x14ac:dyDescent="0.35">
      <c r="A21">
        <v>4801457</v>
      </c>
      <c r="B21" t="s">
        <v>521</v>
      </c>
      <c r="C21">
        <v>15838</v>
      </c>
      <c r="D21" t="s">
        <v>542</v>
      </c>
      <c r="E21" t="s">
        <v>523</v>
      </c>
    </row>
    <row r="22" spans="1:5" x14ac:dyDescent="0.35">
      <c r="A22">
        <v>4801467</v>
      </c>
      <c r="B22" t="s">
        <v>521</v>
      </c>
      <c r="C22">
        <v>15839</v>
      </c>
      <c r="D22" t="s">
        <v>543</v>
      </c>
      <c r="E22" t="s">
        <v>523</v>
      </c>
    </row>
    <row r="23" spans="1:5" x14ac:dyDescent="0.35">
      <c r="A23">
        <v>4801472</v>
      </c>
      <c r="B23" t="s">
        <v>521</v>
      </c>
      <c r="C23">
        <v>15840</v>
      </c>
      <c r="D23" t="s">
        <v>544</v>
      </c>
      <c r="E23" t="s">
        <v>523</v>
      </c>
    </row>
    <row r="24" spans="1:5" x14ac:dyDescent="0.35">
      <c r="A24">
        <v>4801471</v>
      </c>
      <c r="B24" t="s">
        <v>521</v>
      </c>
      <c r="C24">
        <v>15841</v>
      </c>
      <c r="D24" t="s">
        <v>545</v>
      </c>
      <c r="E24" t="s">
        <v>523</v>
      </c>
    </row>
    <row r="25" spans="1:5" x14ac:dyDescent="0.35">
      <c r="A25">
        <v>4801477</v>
      </c>
      <c r="B25" t="s">
        <v>521</v>
      </c>
      <c r="C25">
        <v>15842</v>
      </c>
      <c r="D25" t="s">
        <v>546</v>
      </c>
      <c r="E25" t="s">
        <v>523</v>
      </c>
    </row>
    <row r="26" spans="1:5" x14ac:dyDescent="0.35">
      <c r="A26">
        <v>4801476</v>
      </c>
      <c r="B26" t="s">
        <v>521</v>
      </c>
      <c r="C26">
        <v>15843</v>
      </c>
      <c r="D26" t="s">
        <v>547</v>
      </c>
      <c r="E26" t="s">
        <v>523</v>
      </c>
    </row>
    <row r="27" spans="1:5" x14ac:dyDescent="0.35">
      <c r="A27">
        <v>4801479</v>
      </c>
      <c r="B27" t="s">
        <v>521</v>
      </c>
      <c r="C27">
        <v>15844</v>
      </c>
      <c r="D27" t="s">
        <v>548</v>
      </c>
      <c r="E27" t="s">
        <v>523</v>
      </c>
    </row>
    <row r="28" spans="1:5" x14ac:dyDescent="0.35">
      <c r="A28">
        <v>4899132</v>
      </c>
      <c r="B28" t="s">
        <v>521</v>
      </c>
      <c r="C28">
        <v>15845</v>
      </c>
      <c r="D28" t="s">
        <v>549</v>
      </c>
      <c r="E28" t="s">
        <v>523</v>
      </c>
    </row>
    <row r="29" spans="1:5" x14ac:dyDescent="0.35">
      <c r="A29">
        <v>4807590</v>
      </c>
      <c r="B29" t="s">
        <v>521</v>
      </c>
      <c r="C29">
        <v>15901</v>
      </c>
      <c r="D29" t="s">
        <v>550</v>
      </c>
      <c r="E29" t="s">
        <v>551</v>
      </c>
    </row>
    <row r="30" spans="1:5" x14ac:dyDescent="0.35">
      <c r="A30">
        <v>4822470</v>
      </c>
      <c r="B30" t="s">
        <v>521</v>
      </c>
      <c r="C30">
        <v>15904</v>
      </c>
      <c r="D30" t="s">
        <v>552</v>
      </c>
      <c r="E30" t="s">
        <v>551</v>
      </c>
    </row>
    <row r="31" spans="1:5" x14ac:dyDescent="0.35">
      <c r="A31">
        <v>4818150</v>
      </c>
      <c r="B31" t="s">
        <v>521</v>
      </c>
      <c r="C31">
        <v>15905</v>
      </c>
      <c r="D31" t="s">
        <v>553</v>
      </c>
      <c r="E31" t="s">
        <v>551</v>
      </c>
    </row>
    <row r="32" spans="1:5" x14ac:dyDescent="0.35">
      <c r="A32">
        <v>4836450</v>
      </c>
      <c r="B32" t="s">
        <v>521</v>
      </c>
      <c r="C32">
        <v>15906</v>
      </c>
      <c r="D32" t="s">
        <v>554</v>
      </c>
      <c r="E32" t="s">
        <v>551</v>
      </c>
    </row>
    <row r="33" spans="1:5" x14ac:dyDescent="0.35">
      <c r="A33">
        <v>4838730</v>
      </c>
      <c r="B33" t="s">
        <v>521</v>
      </c>
      <c r="C33">
        <v>15907</v>
      </c>
      <c r="D33" t="s">
        <v>555</v>
      </c>
      <c r="E33" t="s">
        <v>551</v>
      </c>
    </row>
    <row r="34" spans="1:5" x14ac:dyDescent="0.35">
      <c r="A34">
        <v>4840680</v>
      </c>
      <c r="B34" t="s">
        <v>521</v>
      </c>
      <c r="C34">
        <v>15908</v>
      </c>
      <c r="D34" t="s">
        <v>556</v>
      </c>
      <c r="E34" t="s">
        <v>551</v>
      </c>
    </row>
    <row r="35" spans="1:5" x14ac:dyDescent="0.35">
      <c r="A35">
        <v>4840740</v>
      </c>
      <c r="B35" t="s">
        <v>521</v>
      </c>
      <c r="C35">
        <v>15909</v>
      </c>
      <c r="D35" t="s">
        <v>557</v>
      </c>
      <c r="E35" t="s">
        <v>551</v>
      </c>
    </row>
    <row r="36" spans="1:5" x14ac:dyDescent="0.35">
      <c r="A36">
        <v>4832940</v>
      </c>
      <c r="B36" t="s">
        <v>521</v>
      </c>
      <c r="C36">
        <v>15910</v>
      </c>
      <c r="D36" t="s">
        <v>558</v>
      </c>
      <c r="E36" t="s">
        <v>551</v>
      </c>
    </row>
    <row r="37" spans="1:5" x14ac:dyDescent="0.35">
      <c r="A37">
        <v>4817850</v>
      </c>
      <c r="B37" t="s">
        <v>521</v>
      </c>
      <c r="C37">
        <v>15911</v>
      </c>
      <c r="D37" t="s">
        <v>559</v>
      </c>
      <c r="E37" t="s">
        <v>551</v>
      </c>
    </row>
    <row r="38" spans="1:5" x14ac:dyDescent="0.35">
      <c r="A38">
        <v>4840950</v>
      </c>
      <c r="B38" t="s">
        <v>521</v>
      </c>
      <c r="C38">
        <v>15912</v>
      </c>
      <c r="D38" t="s">
        <v>560</v>
      </c>
      <c r="E38" t="s">
        <v>551</v>
      </c>
    </row>
    <row r="39" spans="1:5" x14ac:dyDescent="0.35">
      <c r="A39">
        <v>4826370</v>
      </c>
      <c r="B39" t="s">
        <v>521</v>
      </c>
      <c r="C39">
        <v>15913</v>
      </c>
      <c r="D39" t="s">
        <v>561</v>
      </c>
      <c r="E39" t="s">
        <v>551</v>
      </c>
    </row>
    <row r="40" spans="1:5" x14ac:dyDescent="0.35">
      <c r="A40">
        <v>4820160</v>
      </c>
      <c r="B40" t="s">
        <v>521</v>
      </c>
      <c r="C40">
        <v>15914</v>
      </c>
      <c r="D40" t="s">
        <v>562</v>
      </c>
      <c r="E40" t="s">
        <v>551</v>
      </c>
    </row>
    <row r="41" spans="1:5" x14ac:dyDescent="0.35">
      <c r="A41">
        <v>4833120</v>
      </c>
      <c r="B41" t="s">
        <v>521</v>
      </c>
      <c r="C41">
        <v>15915</v>
      </c>
      <c r="D41" t="s">
        <v>563</v>
      </c>
      <c r="E41" t="s">
        <v>551</v>
      </c>
    </row>
    <row r="42" spans="1:5" x14ac:dyDescent="0.35">
      <c r="A42">
        <v>4824990</v>
      </c>
      <c r="B42" t="s">
        <v>521</v>
      </c>
      <c r="C42">
        <v>15916</v>
      </c>
      <c r="D42" t="s">
        <v>564</v>
      </c>
      <c r="E42" t="s">
        <v>551</v>
      </c>
    </row>
    <row r="43" spans="1:5" x14ac:dyDescent="0.35">
      <c r="A43">
        <v>4840920</v>
      </c>
      <c r="B43" t="s">
        <v>521</v>
      </c>
      <c r="C43">
        <v>15917</v>
      </c>
      <c r="D43" t="s">
        <v>565</v>
      </c>
      <c r="E43" t="s">
        <v>551</v>
      </c>
    </row>
    <row r="44" spans="1:5" x14ac:dyDescent="0.35">
      <c r="A44">
        <v>4801429</v>
      </c>
      <c r="B44" t="s">
        <v>566</v>
      </c>
      <c r="C44">
        <v>43801</v>
      </c>
      <c r="D44" t="s">
        <v>567</v>
      </c>
      <c r="E44" t="s">
        <v>523</v>
      </c>
    </row>
    <row r="45" spans="1:5" x14ac:dyDescent="0.35">
      <c r="A45">
        <v>4801452</v>
      </c>
      <c r="B45" t="s">
        <v>566</v>
      </c>
      <c r="C45">
        <v>43802</v>
      </c>
      <c r="D45" t="s">
        <v>568</v>
      </c>
      <c r="E45" t="s">
        <v>523</v>
      </c>
    </row>
    <row r="46" spans="1:5" x14ac:dyDescent="0.35">
      <c r="A46">
        <v>4807890</v>
      </c>
      <c r="B46" t="s">
        <v>566</v>
      </c>
      <c r="C46">
        <v>43901</v>
      </c>
      <c r="D46" t="s">
        <v>569</v>
      </c>
      <c r="E46" t="s">
        <v>551</v>
      </c>
    </row>
    <row r="47" spans="1:5" x14ac:dyDescent="0.35">
      <c r="A47">
        <v>4808340</v>
      </c>
      <c r="B47" t="s">
        <v>566</v>
      </c>
      <c r="C47">
        <v>43902</v>
      </c>
      <c r="D47" t="s">
        <v>570</v>
      </c>
      <c r="E47" t="s">
        <v>551</v>
      </c>
    </row>
    <row r="48" spans="1:5" x14ac:dyDescent="0.35">
      <c r="A48">
        <v>4813290</v>
      </c>
      <c r="B48" t="s">
        <v>566</v>
      </c>
      <c r="C48">
        <v>43903</v>
      </c>
      <c r="D48" t="s">
        <v>571</v>
      </c>
      <c r="E48" t="s">
        <v>551</v>
      </c>
    </row>
    <row r="49" spans="1:5" x14ac:dyDescent="0.35">
      <c r="A49">
        <v>4819080</v>
      </c>
      <c r="B49" t="s">
        <v>566</v>
      </c>
      <c r="C49">
        <v>43904</v>
      </c>
      <c r="D49" t="s">
        <v>572</v>
      </c>
      <c r="E49" t="s">
        <v>551</v>
      </c>
    </row>
    <row r="50" spans="1:5" x14ac:dyDescent="0.35">
      <c r="A50">
        <v>4820010</v>
      </c>
      <c r="B50" t="s">
        <v>566</v>
      </c>
      <c r="C50">
        <v>43905</v>
      </c>
      <c r="D50" t="s">
        <v>573</v>
      </c>
      <c r="E50" t="s">
        <v>551</v>
      </c>
    </row>
    <row r="51" spans="1:5" x14ac:dyDescent="0.35">
      <c r="A51">
        <v>4829850</v>
      </c>
      <c r="B51" t="s">
        <v>566</v>
      </c>
      <c r="C51">
        <v>43907</v>
      </c>
      <c r="D51" t="s">
        <v>574</v>
      </c>
      <c r="E51" t="s">
        <v>551</v>
      </c>
    </row>
    <row r="52" spans="1:5" x14ac:dyDescent="0.35">
      <c r="A52">
        <v>4830120</v>
      </c>
      <c r="B52" t="s">
        <v>566</v>
      </c>
      <c r="C52">
        <v>43908</v>
      </c>
      <c r="D52" t="s">
        <v>575</v>
      </c>
      <c r="E52" t="s">
        <v>551</v>
      </c>
    </row>
    <row r="53" spans="1:5" x14ac:dyDescent="0.35">
      <c r="A53">
        <v>4835100</v>
      </c>
      <c r="B53" t="s">
        <v>566</v>
      </c>
      <c r="C53">
        <v>43910</v>
      </c>
      <c r="D53" t="s">
        <v>576</v>
      </c>
      <c r="E53" t="s">
        <v>551</v>
      </c>
    </row>
    <row r="54" spans="1:5" x14ac:dyDescent="0.35">
      <c r="A54">
        <v>4835850</v>
      </c>
      <c r="B54" t="s">
        <v>566</v>
      </c>
      <c r="C54">
        <v>43911</v>
      </c>
      <c r="D54" t="s">
        <v>577</v>
      </c>
      <c r="E54" t="s">
        <v>551</v>
      </c>
    </row>
    <row r="55" spans="1:5" x14ac:dyDescent="0.35">
      <c r="A55">
        <v>4836000</v>
      </c>
      <c r="B55" t="s">
        <v>566</v>
      </c>
      <c r="C55">
        <v>43912</v>
      </c>
      <c r="D55" t="s">
        <v>578</v>
      </c>
      <c r="E55" t="s">
        <v>551</v>
      </c>
    </row>
    <row r="56" spans="1:5" x14ac:dyDescent="0.35">
      <c r="A56">
        <v>4846530</v>
      </c>
      <c r="B56" t="s">
        <v>566</v>
      </c>
      <c r="C56">
        <v>43914</v>
      </c>
      <c r="D56" t="s">
        <v>579</v>
      </c>
      <c r="E56" t="s">
        <v>551</v>
      </c>
    </row>
    <row r="57" spans="1:5" x14ac:dyDescent="0.35">
      <c r="A57">
        <v>4810590</v>
      </c>
      <c r="B57" t="s">
        <v>566</v>
      </c>
      <c r="C57">
        <v>43917</v>
      </c>
      <c r="D57" t="s">
        <v>580</v>
      </c>
      <c r="E57" t="s">
        <v>551</v>
      </c>
    </row>
    <row r="58" spans="1:5" x14ac:dyDescent="0.35">
      <c r="A58">
        <v>4814850</v>
      </c>
      <c r="B58" t="s">
        <v>566</v>
      </c>
      <c r="C58">
        <v>43918</v>
      </c>
      <c r="D58" t="s">
        <v>581</v>
      </c>
      <c r="E58" t="s">
        <v>551</v>
      </c>
    </row>
    <row r="59" spans="1:5" x14ac:dyDescent="0.35">
      <c r="A59">
        <v>4828380</v>
      </c>
      <c r="B59" t="s">
        <v>566</v>
      </c>
      <c r="C59">
        <v>43919</v>
      </c>
      <c r="D59" t="s">
        <v>582</v>
      </c>
      <c r="E59" t="s">
        <v>551</v>
      </c>
    </row>
    <row r="60" spans="1:5" x14ac:dyDescent="0.35">
      <c r="A60">
        <v>4800029</v>
      </c>
      <c r="B60" t="s">
        <v>583</v>
      </c>
      <c r="C60">
        <v>57802</v>
      </c>
      <c r="D60" t="s">
        <v>584</v>
      </c>
      <c r="E60" t="s">
        <v>523</v>
      </c>
    </row>
    <row r="61" spans="1:5" x14ac:dyDescent="0.35">
      <c r="A61">
        <v>4800030</v>
      </c>
      <c r="B61" t="s">
        <v>583</v>
      </c>
      <c r="C61">
        <v>57803</v>
      </c>
      <c r="D61" t="s">
        <v>585</v>
      </c>
      <c r="E61" t="s">
        <v>523</v>
      </c>
    </row>
    <row r="62" spans="1:5" x14ac:dyDescent="0.35">
      <c r="A62">
        <v>4800016</v>
      </c>
      <c r="B62" t="s">
        <v>583</v>
      </c>
      <c r="C62">
        <v>57804</v>
      </c>
      <c r="D62" t="s">
        <v>586</v>
      </c>
      <c r="E62" t="s">
        <v>523</v>
      </c>
    </row>
    <row r="63" spans="1:5" x14ac:dyDescent="0.35">
      <c r="A63">
        <v>4800041</v>
      </c>
      <c r="B63" t="s">
        <v>583</v>
      </c>
      <c r="C63">
        <v>57806</v>
      </c>
      <c r="D63" t="s">
        <v>587</v>
      </c>
      <c r="E63" t="s">
        <v>523</v>
      </c>
    </row>
    <row r="64" spans="1:5" x14ac:dyDescent="0.35">
      <c r="A64">
        <v>4800055</v>
      </c>
      <c r="B64" t="s">
        <v>583</v>
      </c>
      <c r="C64">
        <v>57807</v>
      </c>
      <c r="D64" t="s">
        <v>588</v>
      </c>
      <c r="E64" t="s">
        <v>523</v>
      </c>
    </row>
    <row r="65" spans="1:5" x14ac:dyDescent="0.35">
      <c r="A65">
        <v>4800070</v>
      </c>
      <c r="B65" t="s">
        <v>583</v>
      </c>
      <c r="C65">
        <v>57808</v>
      </c>
      <c r="D65" t="s">
        <v>589</v>
      </c>
      <c r="E65" t="s">
        <v>523</v>
      </c>
    </row>
    <row r="66" spans="1:5" x14ac:dyDescent="0.35">
      <c r="A66">
        <v>4800072</v>
      </c>
      <c r="B66" t="s">
        <v>583</v>
      </c>
      <c r="C66">
        <v>57809</v>
      </c>
      <c r="D66" t="s">
        <v>590</v>
      </c>
      <c r="E66" t="s">
        <v>523</v>
      </c>
    </row>
    <row r="67" spans="1:5" x14ac:dyDescent="0.35">
      <c r="A67">
        <v>4800090</v>
      </c>
      <c r="B67" t="s">
        <v>583</v>
      </c>
      <c r="C67">
        <v>57810</v>
      </c>
      <c r="D67" t="s">
        <v>591</v>
      </c>
      <c r="E67" t="s">
        <v>523</v>
      </c>
    </row>
    <row r="68" spans="1:5" x14ac:dyDescent="0.35">
      <c r="A68">
        <v>4800092</v>
      </c>
      <c r="B68" t="s">
        <v>583</v>
      </c>
      <c r="C68">
        <v>57813</v>
      </c>
      <c r="D68" t="s">
        <v>592</v>
      </c>
      <c r="E68" t="s">
        <v>523</v>
      </c>
    </row>
    <row r="69" spans="1:5" x14ac:dyDescent="0.35">
      <c r="A69">
        <v>4800093</v>
      </c>
      <c r="B69" t="s">
        <v>583</v>
      </c>
      <c r="C69">
        <v>57814</v>
      </c>
      <c r="D69" t="s">
        <v>593</v>
      </c>
      <c r="E69" t="s">
        <v>523</v>
      </c>
    </row>
    <row r="70" spans="1:5" x14ac:dyDescent="0.35">
      <c r="A70">
        <v>4800098</v>
      </c>
      <c r="B70" t="s">
        <v>583</v>
      </c>
      <c r="C70">
        <v>57819</v>
      </c>
      <c r="D70" t="s">
        <v>594</v>
      </c>
      <c r="E70" t="s">
        <v>523</v>
      </c>
    </row>
    <row r="71" spans="1:5" x14ac:dyDescent="0.35">
      <c r="A71">
        <v>4800201</v>
      </c>
      <c r="B71" t="s">
        <v>583</v>
      </c>
      <c r="C71">
        <v>57827</v>
      </c>
      <c r="D71" t="s">
        <v>595</v>
      </c>
      <c r="E71" t="s">
        <v>523</v>
      </c>
    </row>
    <row r="72" spans="1:5" x14ac:dyDescent="0.35">
      <c r="A72">
        <v>4800202</v>
      </c>
      <c r="B72" t="s">
        <v>583</v>
      </c>
      <c r="C72">
        <v>57828</v>
      </c>
      <c r="D72" t="s">
        <v>596</v>
      </c>
      <c r="E72" t="s">
        <v>523</v>
      </c>
    </row>
    <row r="73" spans="1:5" x14ac:dyDescent="0.35">
      <c r="A73">
        <v>4800203</v>
      </c>
      <c r="B73" t="s">
        <v>583</v>
      </c>
      <c r="C73">
        <v>57829</v>
      </c>
      <c r="D73" t="s">
        <v>597</v>
      </c>
      <c r="E73" t="s">
        <v>523</v>
      </c>
    </row>
    <row r="74" spans="1:5" x14ac:dyDescent="0.35">
      <c r="A74">
        <v>4800204</v>
      </c>
      <c r="B74" t="s">
        <v>583</v>
      </c>
      <c r="C74">
        <v>57830</v>
      </c>
      <c r="D74" t="s">
        <v>598</v>
      </c>
      <c r="E74" t="s">
        <v>523</v>
      </c>
    </row>
    <row r="75" spans="1:5" x14ac:dyDescent="0.35">
      <c r="A75">
        <v>4800184</v>
      </c>
      <c r="B75" t="s">
        <v>583</v>
      </c>
      <c r="C75">
        <v>57831</v>
      </c>
      <c r="D75" t="s">
        <v>599</v>
      </c>
      <c r="E75" t="s">
        <v>523</v>
      </c>
    </row>
    <row r="76" spans="1:5" x14ac:dyDescent="0.35">
      <c r="A76">
        <v>4800186</v>
      </c>
      <c r="B76" t="s">
        <v>583</v>
      </c>
      <c r="C76">
        <v>57833</v>
      </c>
      <c r="D76" t="s">
        <v>600</v>
      </c>
      <c r="E76" t="s">
        <v>523</v>
      </c>
    </row>
    <row r="77" spans="1:5" x14ac:dyDescent="0.35">
      <c r="A77">
        <v>4800236</v>
      </c>
      <c r="B77" t="s">
        <v>583</v>
      </c>
      <c r="C77">
        <v>57834</v>
      </c>
      <c r="D77" t="s">
        <v>601</v>
      </c>
      <c r="E77" t="s">
        <v>523</v>
      </c>
    </row>
    <row r="78" spans="1:5" x14ac:dyDescent="0.35">
      <c r="A78">
        <v>4800237</v>
      </c>
      <c r="B78" t="s">
        <v>583</v>
      </c>
      <c r="C78">
        <v>57835</v>
      </c>
      <c r="D78" t="s">
        <v>602</v>
      </c>
      <c r="E78" t="s">
        <v>523</v>
      </c>
    </row>
    <row r="79" spans="1:5" x14ac:dyDescent="0.35">
      <c r="A79">
        <v>4800248</v>
      </c>
      <c r="B79" t="s">
        <v>583</v>
      </c>
      <c r="C79">
        <v>57836</v>
      </c>
      <c r="D79" t="s">
        <v>603</v>
      </c>
      <c r="E79" t="s">
        <v>523</v>
      </c>
    </row>
    <row r="80" spans="1:5" x14ac:dyDescent="0.35">
      <c r="A80">
        <v>4800270</v>
      </c>
      <c r="B80" t="s">
        <v>583</v>
      </c>
      <c r="C80">
        <v>57839</v>
      </c>
      <c r="D80" t="s">
        <v>604</v>
      </c>
      <c r="E80" t="s">
        <v>523</v>
      </c>
    </row>
    <row r="81" spans="1:5" x14ac:dyDescent="0.35">
      <c r="A81">
        <v>4800271</v>
      </c>
      <c r="B81" t="s">
        <v>583</v>
      </c>
      <c r="C81">
        <v>57840</v>
      </c>
      <c r="D81" t="s">
        <v>605</v>
      </c>
      <c r="E81" t="s">
        <v>523</v>
      </c>
    </row>
    <row r="82" spans="1:5" x14ac:dyDescent="0.35">
      <c r="A82">
        <v>4800288</v>
      </c>
      <c r="B82" t="s">
        <v>583</v>
      </c>
      <c r="C82">
        <v>57841</v>
      </c>
      <c r="D82" t="s">
        <v>606</v>
      </c>
      <c r="E82" t="s">
        <v>523</v>
      </c>
    </row>
    <row r="83" spans="1:5" x14ac:dyDescent="0.35">
      <c r="A83">
        <v>4801415</v>
      </c>
      <c r="B83" t="s">
        <v>583</v>
      </c>
      <c r="C83">
        <v>57844</v>
      </c>
      <c r="D83" t="s">
        <v>607</v>
      </c>
      <c r="E83" t="s">
        <v>523</v>
      </c>
    </row>
    <row r="84" spans="1:5" x14ac:dyDescent="0.35">
      <c r="A84">
        <v>4801425</v>
      </c>
      <c r="B84" t="s">
        <v>583</v>
      </c>
      <c r="C84">
        <v>57845</v>
      </c>
      <c r="D84" t="s">
        <v>608</v>
      </c>
      <c r="E84" t="s">
        <v>523</v>
      </c>
    </row>
    <row r="85" spans="1:5" x14ac:dyDescent="0.35">
      <c r="A85">
        <v>4801428</v>
      </c>
      <c r="B85" t="s">
        <v>583</v>
      </c>
      <c r="C85">
        <v>57846</v>
      </c>
      <c r="D85" t="s">
        <v>609</v>
      </c>
      <c r="E85" t="s">
        <v>523</v>
      </c>
    </row>
    <row r="86" spans="1:5" x14ac:dyDescent="0.35">
      <c r="A86">
        <v>4801436</v>
      </c>
      <c r="B86" t="s">
        <v>583</v>
      </c>
      <c r="C86">
        <v>57847</v>
      </c>
      <c r="D86" t="s">
        <v>610</v>
      </c>
      <c r="E86" t="s">
        <v>523</v>
      </c>
    </row>
    <row r="87" spans="1:5" x14ac:dyDescent="0.35">
      <c r="A87">
        <v>4801440</v>
      </c>
      <c r="B87" t="s">
        <v>583</v>
      </c>
      <c r="C87">
        <v>57848</v>
      </c>
      <c r="D87" t="s">
        <v>611</v>
      </c>
      <c r="E87" t="s">
        <v>523</v>
      </c>
    </row>
    <row r="88" spans="1:5" x14ac:dyDescent="0.35">
      <c r="A88">
        <v>4801451</v>
      </c>
      <c r="B88" t="s">
        <v>583</v>
      </c>
      <c r="C88">
        <v>57850</v>
      </c>
      <c r="D88" t="s">
        <v>612</v>
      </c>
      <c r="E88" t="s">
        <v>523</v>
      </c>
    </row>
    <row r="89" spans="1:5" x14ac:dyDescent="0.35">
      <c r="A89">
        <v>4801462</v>
      </c>
      <c r="B89" t="s">
        <v>583</v>
      </c>
      <c r="C89">
        <v>57851</v>
      </c>
      <c r="D89" t="s">
        <v>613</v>
      </c>
      <c r="E89" t="s">
        <v>523</v>
      </c>
    </row>
    <row r="90" spans="1:5" x14ac:dyDescent="0.35">
      <c r="A90">
        <v>4813050</v>
      </c>
      <c r="B90" t="s">
        <v>583</v>
      </c>
      <c r="C90">
        <v>57903</v>
      </c>
      <c r="D90" t="s">
        <v>614</v>
      </c>
      <c r="E90" t="s">
        <v>551</v>
      </c>
    </row>
    <row r="91" spans="1:5" x14ac:dyDescent="0.35">
      <c r="A91">
        <v>4813230</v>
      </c>
      <c r="B91" t="s">
        <v>583</v>
      </c>
      <c r="C91">
        <v>57904</v>
      </c>
      <c r="D91" t="s">
        <v>615</v>
      </c>
      <c r="E91" t="s">
        <v>551</v>
      </c>
    </row>
    <row r="92" spans="1:5" x14ac:dyDescent="0.35">
      <c r="A92">
        <v>4816230</v>
      </c>
      <c r="B92" t="s">
        <v>583</v>
      </c>
      <c r="C92">
        <v>57905</v>
      </c>
      <c r="D92" t="s">
        <v>616</v>
      </c>
      <c r="E92" t="s">
        <v>551</v>
      </c>
    </row>
    <row r="93" spans="1:5" x14ac:dyDescent="0.35">
      <c r="A93">
        <v>4816860</v>
      </c>
      <c r="B93" t="s">
        <v>583</v>
      </c>
      <c r="C93">
        <v>57906</v>
      </c>
      <c r="D93" t="s">
        <v>617</v>
      </c>
      <c r="E93" t="s">
        <v>551</v>
      </c>
    </row>
    <row r="94" spans="1:5" x14ac:dyDescent="0.35">
      <c r="A94">
        <v>4817640</v>
      </c>
      <c r="B94" t="s">
        <v>583</v>
      </c>
      <c r="C94">
        <v>57907</v>
      </c>
      <c r="D94" t="s">
        <v>618</v>
      </c>
      <c r="E94" t="s">
        <v>551</v>
      </c>
    </row>
    <row r="95" spans="1:5" x14ac:dyDescent="0.35">
      <c r="A95">
        <v>4820340</v>
      </c>
      <c r="B95" t="s">
        <v>583</v>
      </c>
      <c r="C95">
        <v>57909</v>
      </c>
      <c r="D95" t="s">
        <v>619</v>
      </c>
      <c r="E95" t="s">
        <v>551</v>
      </c>
    </row>
    <row r="96" spans="1:5" x14ac:dyDescent="0.35">
      <c r="A96">
        <v>4821420</v>
      </c>
      <c r="B96" t="s">
        <v>583</v>
      </c>
      <c r="C96">
        <v>57910</v>
      </c>
      <c r="D96" t="s">
        <v>620</v>
      </c>
      <c r="E96" t="s">
        <v>551</v>
      </c>
    </row>
    <row r="97" spans="1:5" x14ac:dyDescent="0.35">
      <c r="A97">
        <v>4823250</v>
      </c>
      <c r="B97" t="s">
        <v>583</v>
      </c>
      <c r="C97">
        <v>57911</v>
      </c>
      <c r="D97" t="s">
        <v>621</v>
      </c>
      <c r="E97" t="s">
        <v>551</v>
      </c>
    </row>
    <row r="98" spans="1:5" x14ac:dyDescent="0.35">
      <c r="A98">
        <v>4824420</v>
      </c>
      <c r="B98" t="s">
        <v>583</v>
      </c>
      <c r="C98">
        <v>57912</v>
      </c>
      <c r="D98" t="s">
        <v>622</v>
      </c>
      <c r="E98" t="s">
        <v>551</v>
      </c>
    </row>
    <row r="99" spans="1:5" x14ac:dyDescent="0.35">
      <c r="A99">
        <v>4826670</v>
      </c>
      <c r="B99" t="s">
        <v>583</v>
      </c>
      <c r="C99">
        <v>57913</v>
      </c>
      <c r="D99" t="s">
        <v>623</v>
      </c>
      <c r="E99" t="s">
        <v>551</v>
      </c>
    </row>
    <row r="100" spans="1:5" x14ac:dyDescent="0.35">
      <c r="A100">
        <v>4830390</v>
      </c>
      <c r="B100" t="s">
        <v>583</v>
      </c>
      <c r="C100">
        <v>57914</v>
      </c>
      <c r="D100" t="s">
        <v>624</v>
      </c>
      <c r="E100" t="s">
        <v>551</v>
      </c>
    </row>
    <row r="101" spans="1:5" x14ac:dyDescent="0.35">
      <c r="A101">
        <v>4837020</v>
      </c>
      <c r="B101" t="s">
        <v>583</v>
      </c>
      <c r="C101">
        <v>57916</v>
      </c>
      <c r="D101" t="s">
        <v>625</v>
      </c>
      <c r="E101" t="s">
        <v>551</v>
      </c>
    </row>
    <row r="102" spans="1:5" x14ac:dyDescent="0.35">
      <c r="A102">
        <v>4841880</v>
      </c>
      <c r="B102" t="s">
        <v>583</v>
      </c>
      <c r="C102">
        <v>57919</v>
      </c>
      <c r="D102" t="s">
        <v>626</v>
      </c>
      <c r="E102" t="s">
        <v>551</v>
      </c>
    </row>
    <row r="103" spans="1:5" x14ac:dyDescent="0.35">
      <c r="A103">
        <v>4815210</v>
      </c>
      <c r="B103" t="s">
        <v>583</v>
      </c>
      <c r="C103">
        <v>57922</v>
      </c>
      <c r="D103" t="s">
        <v>627</v>
      </c>
      <c r="E103" t="s">
        <v>551</v>
      </c>
    </row>
    <row r="104" spans="1:5" x14ac:dyDescent="0.35">
      <c r="B104" t="s">
        <v>628</v>
      </c>
      <c r="C104">
        <v>61501</v>
      </c>
      <c r="D104" t="s">
        <v>629</v>
      </c>
      <c r="E104" t="s">
        <v>551</v>
      </c>
    </row>
    <row r="105" spans="1:5" x14ac:dyDescent="0.35">
      <c r="A105">
        <v>4800187</v>
      </c>
      <c r="B105" t="s">
        <v>628</v>
      </c>
      <c r="C105">
        <v>61802</v>
      </c>
      <c r="D105" t="s">
        <v>630</v>
      </c>
      <c r="E105" t="s">
        <v>523</v>
      </c>
    </row>
    <row r="106" spans="1:5" x14ac:dyDescent="0.35">
      <c r="A106">
        <v>4801420</v>
      </c>
      <c r="B106" t="s">
        <v>628</v>
      </c>
      <c r="C106">
        <v>61804</v>
      </c>
      <c r="D106" t="s">
        <v>631</v>
      </c>
      <c r="E106" t="s">
        <v>523</v>
      </c>
    </row>
    <row r="107" spans="1:5" x14ac:dyDescent="0.35">
      <c r="A107">
        <v>4801456</v>
      </c>
      <c r="B107" t="s">
        <v>628</v>
      </c>
      <c r="C107">
        <v>61805</v>
      </c>
      <c r="D107" t="s">
        <v>632</v>
      </c>
      <c r="E107" t="s">
        <v>523</v>
      </c>
    </row>
    <row r="108" spans="1:5" x14ac:dyDescent="0.35">
      <c r="B108" t="s">
        <v>628</v>
      </c>
      <c r="C108">
        <v>61806</v>
      </c>
      <c r="D108" t="s">
        <v>633</v>
      </c>
      <c r="E108" t="s">
        <v>523</v>
      </c>
    </row>
    <row r="109" spans="1:5" x14ac:dyDescent="0.35">
      <c r="A109">
        <v>4816740</v>
      </c>
      <c r="B109" t="s">
        <v>628</v>
      </c>
      <c r="C109">
        <v>61901</v>
      </c>
      <c r="D109" t="s">
        <v>634</v>
      </c>
      <c r="E109" t="s">
        <v>551</v>
      </c>
    </row>
    <row r="110" spans="1:5" x14ac:dyDescent="0.35">
      <c r="A110">
        <v>4827300</v>
      </c>
      <c r="B110" t="s">
        <v>628</v>
      </c>
      <c r="C110">
        <v>61902</v>
      </c>
      <c r="D110" t="s">
        <v>635</v>
      </c>
      <c r="E110" t="s">
        <v>551</v>
      </c>
    </row>
    <row r="111" spans="1:5" x14ac:dyDescent="0.35">
      <c r="A111">
        <v>4834920</v>
      </c>
      <c r="B111" t="s">
        <v>628</v>
      </c>
      <c r="C111">
        <v>61903</v>
      </c>
      <c r="D111" t="s">
        <v>636</v>
      </c>
      <c r="E111" t="s">
        <v>551</v>
      </c>
    </row>
    <row r="112" spans="1:5" x14ac:dyDescent="0.35">
      <c r="A112">
        <v>4825980</v>
      </c>
      <c r="B112" t="s">
        <v>628</v>
      </c>
      <c r="C112">
        <v>61905</v>
      </c>
      <c r="D112" t="s">
        <v>637</v>
      </c>
      <c r="E112" t="s">
        <v>551</v>
      </c>
    </row>
    <row r="113" spans="1:5" x14ac:dyDescent="0.35">
      <c r="A113">
        <v>4835310</v>
      </c>
      <c r="B113" t="s">
        <v>628</v>
      </c>
      <c r="C113">
        <v>61906</v>
      </c>
      <c r="D113" t="s">
        <v>638</v>
      </c>
      <c r="E113" t="s">
        <v>551</v>
      </c>
    </row>
    <row r="114" spans="1:5" x14ac:dyDescent="0.35">
      <c r="A114">
        <v>4808910</v>
      </c>
      <c r="B114" t="s">
        <v>628</v>
      </c>
      <c r="C114">
        <v>61907</v>
      </c>
      <c r="D114" t="s">
        <v>639</v>
      </c>
      <c r="E114" t="s">
        <v>551</v>
      </c>
    </row>
    <row r="115" spans="1:5" x14ac:dyDescent="0.35">
      <c r="A115">
        <v>4839180</v>
      </c>
      <c r="B115" t="s">
        <v>628</v>
      </c>
      <c r="C115">
        <v>61908</v>
      </c>
      <c r="D115" t="s">
        <v>640</v>
      </c>
      <c r="E115" t="s">
        <v>551</v>
      </c>
    </row>
    <row r="116" spans="1:5" x14ac:dyDescent="0.35">
      <c r="A116">
        <v>4808670</v>
      </c>
      <c r="B116" t="s">
        <v>628</v>
      </c>
      <c r="C116">
        <v>61910</v>
      </c>
      <c r="D116" t="s">
        <v>641</v>
      </c>
      <c r="E116" t="s">
        <v>551</v>
      </c>
    </row>
    <row r="117" spans="1:5" x14ac:dyDescent="0.35">
      <c r="A117">
        <v>4833180</v>
      </c>
      <c r="B117" t="s">
        <v>628</v>
      </c>
      <c r="C117">
        <v>61911</v>
      </c>
      <c r="D117" t="s">
        <v>642</v>
      </c>
      <c r="E117" t="s">
        <v>551</v>
      </c>
    </row>
    <row r="118" spans="1:5" x14ac:dyDescent="0.35">
      <c r="A118">
        <v>4826430</v>
      </c>
      <c r="B118" t="s">
        <v>628</v>
      </c>
      <c r="C118">
        <v>61912</v>
      </c>
      <c r="D118" t="s">
        <v>643</v>
      </c>
      <c r="E118" t="s">
        <v>551</v>
      </c>
    </row>
    <row r="119" spans="1:5" x14ac:dyDescent="0.35">
      <c r="A119">
        <v>4827720</v>
      </c>
      <c r="B119" t="s">
        <v>628</v>
      </c>
      <c r="C119">
        <v>61914</v>
      </c>
      <c r="D119" t="s">
        <v>644</v>
      </c>
      <c r="E119" t="s">
        <v>551</v>
      </c>
    </row>
    <row r="120" spans="1:5" x14ac:dyDescent="0.35">
      <c r="A120">
        <v>4800037</v>
      </c>
      <c r="B120" t="s">
        <v>645</v>
      </c>
      <c r="C120">
        <v>71801</v>
      </c>
      <c r="D120" t="s">
        <v>646</v>
      </c>
      <c r="E120" t="s">
        <v>523</v>
      </c>
    </row>
    <row r="121" spans="1:5" x14ac:dyDescent="0.35">
      <c r="A121">
        <v>4800106</v>
      </c>
      <c r="B121" t="s">
        <v>645</v>
      </c>
      <c r="C121">
        <v>71803</v>
      </c>
      <c r="D121" t="s">
        <v>647</v>
      </c>
      <c r="E121" t="s">
        <v>523</v>
      </c>
    </row>
    <row r="122" spans="1:5" x14ac:dyDescent="0.35">
      <c r="A122">
        <v>4800205</v>
      </c>
      <c r="B122" t="s">
        <v>645</v>
      </c>
      <c r="C122">
        <v>71804</v>
      </c>
      <c r="D122" t="s">
        <v>648</v>
      </c>
      <c r="E122" t="s">
        <v>523</v>
      </c>
    </row>
    <row r="123" spans="1:5" x14ac:dyDescent="0.35">
      <c r="A123">
        <v>4800272</v>
      </c>
      <c r="B123" t="s">
        <v>645</v>
      </c>
      <c r="C123">
        <v>71806</v>
      </c>
      <c r="D123" t="s">
        <v>649</v>
      </c>
      <c r="E123" t="s">
        <v>523</v>
      </c>
    </row>
    <row r="124" spans="1:5" x14ac:dyDescent="0.35">
      <c r="A124">
        <v>4800286</v>
      </c>
      <c r="B124" t="s">
        <v>645</v>
      </c>
      <c r="C124">
        <v>71807</v>
      </c>
      <c r="D124" t="s">
        <v>650</v>
      </c>
      <c r="E124" t="s">
        <v>523</v>
      </c>
    </row>
    <row r="125" spans="1:5" x14ac:dyDescent="0.35">
      <c r="A125">
        <v>4801394</v>
      </c>
      <c r="B125" t="s">
        <v>645</v>
      </c>
      <c r="C125">
        <v>71809</v>
      </c>
      <c r="D125" t="s">
        <v>651</v>
      </c>
      <c r="E125" t="s">
        <v>523</v>
      </c>
    </row>
    <row r="126" spans="1:5" x14ac:dyDescent="0.35">
      <c r="A126">
        <v>4801439</v>
      </c>
      <c r="B126" t="s">
        <v>645</v>
      </c>
      <c r="C126">
        <v>71810</v>
      </c>
      <c r="D126" t="s">
        <v>652</v>
      </c>
      <c r="E126" t="s">
        <v>523</v>
      </c>
    </row>
    <row r="127" spans="1:5" x14ac:dyDescent="0.35">
      <c r="A127">
        <v>4814430</v>
      </c>
      <c r="B127" t="s">
        <v>645</v>
      </c>
      <c r="C127">
        <v>71901</v>
      </c>
      <c r="D127" t="s">
        <v>653</v>
      </c>
      <c r="E127" t="s">
        <v>551</v>
      </c>
    </row>
    <row r="128" spans="1:5" x14ac:dyDescent="0.35">
      <c r="A128">
        <v>4818300</v>
      </c>
      <c r="B128" t="s">
        <v>645</v>
      </c>
      <c r="C128">
        <v>71902</v>
      </c>
      <c r="D128" t="s">
        <v>654</v>
      </c>
      <c r="E128" t="s">
        <v>551</v>
      </c>
    </row>
    <row r="129" spans="1:5" x14ac:dyDescent="0.35">
      <c r="A129">
        <v>4818900</v>
      </c>
      <c r="B129" t="s">
        <v>645</v>
      </c>
      <c r="C129">
        <v>71903</v>
      </c>
      <c r="D129" t="s">
        <v>655</v>
      </c>
      <c r="E129" t="s">
        <v>551</v>
      </c>
    </row>
    <row r="130" spans="1:5" x14ac:dyDescent="0.35">
      <c r="A130">
        <v>4838850</v>
      </c>
      <c r="B130" t="s">
        <v>645</v>
      </c>
      <c r="C130">
        <v>71904</v>
      </c>
      <c r="D130" t="s">
        <v>656</v>
      </c>
      <c r="E130" t="s">
        <v>551</v>
      </c>
    </row>
    <row r="131" spans="1:5" x14ac:dyDescent="0.35">
      <c r="A131">
        <v>4846680</v>
      </c>
      <c r="B131" t="s">
        <v>645</v>
      </c>
      <c r="C131">
        <v>71905</v>
      </c>
      <c r="D131" t="s">
        <v>657</v>
      </c>
      <c r="E131" t="s">
        <v>551</v>
      </c>
    </row>
    <row r="132" spans="1:5" x14ac:dyDescent="0.35">
      <c r="A132">
        <v>4808430</v>
      </c>
      <c r="B132" t="s">
        <v>645</v>
      </c>
      <c r="C132">
        <v>71906</v>
      </c>
      <c r="D132" t="s">
        <v>658</v>
      </c>
      <c r="E132" t="s">
        <v>551</v>
      </c>
    </row>
    <row r="133" spans="1:5" x14ac:dyDescent="0.35">
      <c r="A133">
        <v>4812780</v>
      </c>
      <c r="B133" t="s">
        <v>645</v>
      </c>
      <c r="C133">
        <v>71907</v>
      </c>
      <c r="D133" t="s">
        <v>659</v>
      </c>
      <c r="E133" t="s">
        <v>551</v>
      </c>
    </row>
    <row r="134" spans="1:5" x14ac:dyDescent="0.35">
      <c r="A134">
        <v>4842990</v>
      </c>
      <c r="B134" t="s">
        <v>645</v>
      </c>
      <c r="C134">
        <v>71908</v>
      </c>
      <c r="D134" t="s">
        <v>660</v>
      </c>
      <c r="E134" t="s">
        <v>551</v>
      </c>
    </row>
    <row r="135" spans="1:5" x14ac:dyDescent="0.35">
      <c r="A135">
        <v>4840710</v>
      </c>
      <c r="B135" t="s">
        <v>645</v>
      </c>
      <c r="C135">
        <v>71909</v>
      </c>
      <c r="D135" t="s">
        <v>661</v>
      </c>
      <c r="E135" t="s">
        <v>551</v>
      </c>
    </row>
    <row r="136" spans="1:5" x14ac:dyDescent="0.35">
      <c r="A136">
        <v>4800261</v>
      </c>
      <c r="B136" t="s">
        <v>662</v>
      </c>
      <c r="C136">
        <v>101000</v>
      </c>
      <c r="D136" t="s">
        <v>663</v>
      </c>
      <c r="E136" t="s">
        <v>551</v>
      </c>
    </row>
    <row r="137" spans="1:5" x14ac:dyDescent="0.35">
      <c r="A137">
        <v>4800018</v>
      </c>
      <c r="B137" t="s">
        <v>662</v>
      </c>
      <c r="C137">
        <v>101802</v>
      </c>
      <c r="D137" t="s">
        <v>664</v>
      </c>
      <c r="E137" t="s">
        <v>523</v>
      </c>
    </row>
    <row r="138" spans="1:5" x14ac:dyDescent="0.35">
      <c r="A138">
        <v>4800019</v>
      </c>
      <c r="B138" t="s">
        <v>662</v>
      </c>
      <c r="C138">
        <v>101803</v>
      </c>
      <c r="D138" t="s">
        <v>665</v>
      </c>
      <c r="E138" t="s">
        <v>523</v>
      </c>
    </row>
    <row r="139" spans="1:5" x14ac:dyDescent="0.35">
      <c r="A139">
        <v>4800020</v>
      </c>
      <c r="B139" t="s">
        <v>662</v>
      </c>
      <c r="C139">
        <v>101804</v>
      </c>
      <c r="D139" t="s">
        <v>666</v>
      </c>
      <c r="E139" t="s">
        <v>523</v>
      </c>
    </row>
    <row r="140" spans="1:5" x14ac:dyDescent="0.35">
      <c r="A140">
        <v>4800022</v>
      </c>
      <c r="B140" t="s">
        <v>662</v>
      </c>
      <c r="C140">
        <v>101806</v>
      </c>
      <c r="D140" t="s">
        <v>667</v>
      </c>
      <c r="E140" t="s">
        <v>523</v>
      </c>
    </row>
    <row r="141" spans="1:5" x14ac:dyDescent="0.35">
      <c r="A141">
        <v>4800032</v>
      </c>
      <c r="B141" t="s">
        <v>662</v>
      </c>
      <c r="C141">
        <v>101810</v>
      </c>
      <c r="D141" t="s">
        <v>668</v>
      </c>
      <c r="E141" t="s">
        <v>523</v>
      </c>
    </row>
    <row r="142" spans="1:5" x14ac:dyDescent="0.35">
      <c r="A142">
        <v>4800049</v>
      </c>
      <c r="B142" t="s">
        <v>662</v>
      </c>
      <c r="C142">
        <v>101811</v>
      </c>
      <c r="D142" t="s">
        <v>669</v>
      </c>
      <c r="E142" t="s">
        <v>523</v>
      </c>
    </row>
    <row r="143" spans="1:5" x14ac:dyDescent="0.35">
      <c r="A143">
        <v>4800073</v>
      </c>
      <c r="B143" t="s">
        <v>662</v>
      </c>
      <c r="C143">
        <v>101814</v>
      </c>
      <c r="D143" t="s">
        <v>670</v>
      </c>
      <c r="E143" t="s">
        <v>523</v>
      </c>
    </row>
    <row r="144" spans="1:5" x14ac:dyDescent="0.35">
      <c r="A144">
        <v>4800035</v>
      </c>
      <c r="B144" t="s">
        <v>662</v>
      </c>
      <c r="C144">
        <v>101815</v>
      </c>
      <c r="D144" t="s">
        <v>671</v>
      </c>
      <c r="E144" t="s">
        <v>523</v>
      </c>
    </row>
    <row r="145" spans="1:5" x14ac:dyDescent="0.35">
      <c r="A145">
        <v>4800113</v>
      </c>
      <c r="B145" t="s">
        <v>662</v>
      </c>
      <c r="C145">
        <v>101819</v>
      </c>
      <c r="D145" t="s">
        <v>672</v>
      </c>
      <c r="E145" t="s">
        <v>523</v>
      </c>
    </row>
    <row r="146" spans="1:5" x14ac:dyDescent="0.35">
      <c r="A146">
        <v>4800115</v>
      </c>
      <c r="B146" t="s">
        <v>662</v>
      </c>
      <c r="C146">
        <v>101821</v>
      </c>
      <c r="D146" t="s">
        <v>673</v>
      </c>
      <c r="E146" t="s">
        <v>523</v>
      </c>
    </row>
    <row r="147" spans="1:5" x14ac:dyDescent="0.35">
      <c r="A147">
        <v>4800118</v>
      </c>
      <c r="B147" t="s">
        <v>662</v>
      </c>
      <c r="C147">
        <v>101828</v>
      </c>
      <c r="D147" t="s">
        <v>674</v>
      </c>
      <c r="E147" t="s">
        <v>523</v>
      </c>
    </row>
    <row r="148" spans="1:5" x14ac:dyDescent="0.35">
      <c r="A148">
        <v>4800124</v>
      </c>
      <c r="B148" t="s">
        <v>662</v>
      </c>
      <c r="C148">
        <v>101837</v>
      </c>
      <c r="D148" t="s">
        <v>675</v>
      </c>
      <c r="E148" t="s">
        <v>523</v>
      </c>
    </row>
    <row r="149" spans="1:5" x14ac:dyDescent="0.35">
      <c r="A149">
        <v>4800125</v>
      </c>
      <c r="B149" t="s">
        <v>662</v>
      </c>
      <c r="C149">
        <v>101838</v>
      </c>
      <c r="D149" t="s">
        <v>676</v>
      </c>
      <c r="E149" t="s">
        <v>523</v>
      </c>
    </row>
    <row r="150" spans="1:5" x14ac:dyDescent="0.35">
      <c r="A150">
        <v>4800069</v>
      </c>
      <c r="B150" t="s">
        <v>662</v>
      </c>
      <c r="C150">
        <v>101840</v>
      </c>
      <c r="D150" t="s">
        <v>677</v>
      </c>
      <c r="E150" t="s">
        <v>523</v>
      </c>
    </row>
    <row r="151" spans="1:5" x14ac:dyDescent="0.35">
      <c r="A151">
        <v>4800127</v>
      </c>
      <c r="B151" t="s">
        <v>662</v>
      </c>
      <c r="C151">
        <v>101842</v>
      </c>
      <c r="D151" t="s">
        <v>678</v>
      </c>
      <c r="E151" t="s">
        <v>523</v>
      </c>
    </row>
    <row r="152" spans="1:5" x14ac:dyDescent="0.35">
      <c r="A152">
        <v>4800209</v>
      </c>
      <c r="B152" t="s">
        <v>662</v>
      </c>
      <c r="C152">
        <v>101845</v>
      </c>
      <c r="D152" t="s">
        <v>679</v>
      </c>
      <c r="E152" t="s">
        <v>523</v>
      </c>
    </row>
    <row r="153" spans="1:5" x14ac:dyDescent="0.35">
      <c r="A153">
        <v>4800210</v>
      </c>
      <c r="B153" t="s">
        <v>662</v>
      </c>
      <c r="C153">
        <v>101846</v>
      </c>
      <c r="D153" t="s">
        <v>680</v>
      </c>
      <c r="E153" t="s">
        <v>523</v>
      </c>
    </row>
    <row r="154" spans="1:5" x14ac:dyDescent="0.35">
      <c r="A154">
        <v>4800190</v>
      </c>
      <c r="B154" t="s">
        <v>662</v>
      </c>
      <c r="C154">
        <v>101847</v>
      </c>
      <c r="D154" t="s">
        <v>681</v>
      </c>
      <c r="E154" t="s">
        <v>523</v>
      </c>
    </row>
    <row r="155" spans="1:5" x14ac:dyDescent="0.35">
      <c r="A155">
        <v>4800192</v>
      </c>
      <c r="B155" t="s">
        <v>662</v>
      </c>
      <c r="C155">
        <v>101849</v>
      </c>
      <c r="D155" t="s">
        <v>682</v>
      </c>
      <c r="E155" t="s">
        <v>523</v>
      </c>
    </row>
    <row r="156" spans="1:5" x14ac:dyDescent="0.35">
      <c r="A156">
        <v>4800240</v>
      </c>
      <c r="B156" t="s">
        <v>662</v>
      </c>
      <c r="C156">
        <v>101853</v>
      </c>
      <c r="D156" t="s">
        <v>683</v>
      </c>
      <c r="E156" t="s">
        <v>523</v>
      </c>
    </row>
    <row r="157" spans="1:5" x14ac:dyDescent="0.35">
      <c r="A157">
        <v>4800262</v>
      </c>
      <c r="B157" t="s">
        <v>662</v>
      </c>
      <c r="C157">
        <v>101855</v>
      </c>
      <c r="D157" t="s">
        <v>684</v>
      </c>
      <c r="E157" t="s">
        <v>523</v>
      </c>
    </row>
    <row r="158" spans="1:5" x14ac:dyDescent="0.35">
      <c r="A158">
        <v>4800263</v>
      </c>
      <c r="B158" t="s">
        <v>662</v>
      </c>
      <c r="C158">
        <v>101856</v>
      </c>
      <c r="D158" t="s">
        <v>685</v>
      </c>
      <c r="E158" t="s">
        <v>523</v>
      </c>
    </row>
    <row r="159" spans="1:5" x14ac:dyDescent="0.35">
      <c r="A159">
        <v>4800274</v>
      </c>
      <c r="B159" t="s">
        <v>662</v>
      </c>
      <c r="C159">
        <v>101858</v>
      </c>
      <c r="D159" t="s">
        <v>686</v>
      </c>
      <c r="E159" t="s">
        <v>523</v>
      </c>
    </row>
    <row r="160" spans="1:5" x14ac:dyDescent="0.35">
      <c r="A160">
        <v>4800275</v>
      </c>
      <c r="B160" t="s">
        <v>662</v>
      </c>
      <c r="C160">
        <v>101859</v>
      </c>
      <c r="D160" t="s">
        <v>687</v>
      </c>
      <c r="E160" t="s">
        <v>523</v>
      </c>
    </row>
    <row r="161" spans="1:5" x14ac:dyDescent="0.35">
      <c r="A161">
        <v>4800283</v>
      </c>
      <c r="B161" t="s">
        <v>662</v>
      </c>
      <c r="C161">
        <v>101861</v>
      </c>
      <c r="D161" t="s">
        <v>688</v>
      </c>
      <c r="E161" t="s">
        <v>523</v>
      </c>
    </row>
    <row r="162" spans="1:5" x14ac:dyDescent="0.35">
      <c r="A162">
        <v>4801405</v>
      </c>
      <c r="B162" t="s">
        <v>662</v>
      </c>
      <c r="C162">
        <v>101862</v>
      </c>
      <c r="D162" t="s">
        <v>689</v>
      </c>
      <c r="E162" t="s">
        <v>523</v>
      </c>
    </row>
    <row r="163" spans="1:5" x14ac:dyDescent="0.35">
      <c r="A163">
        <v>4801418</v>
      </c>
      <c r="B163" t="s">
        <v>662</v>
      </c>
      <c r="C163">
        <v>101864</v>
      </c>
      <c r="D163" t="s">
        <v>690</v>
      </c>
      <c r="E163" t="s">
        <v>523</v>
      </c>
    </row>
    <row r="164" spans="1:5" x14ac:dyDescent="0.35">
      <c r="A164">
        <v>4801434</v>
      </c>
      <c r="B164" t="s">
        <v>662</v>
      </c>
      <c r="C164">
        <v>101868</v>
      </c>
      <c r="D164" t="s">
        <v>691</v>
      </c>
      <c r="E164" t="s">
        <v>523</v>
      </c>
    </row>
    <row r="165" spans="1:5" x14ac:dyDescent="0.35">
      <c r="A165">
        <v>4801446</v>
      </c>
      <c r="B165" t="s">
        <v>662</v>
      </c>
      <c r="C165">
        <v>101870</v>
      </c>
      <c r="D165" t="s">
        <v>692</v>
      </c>
      <c r="E165" t="s">
        <v>523</v>
      </c>
    </row>
    <row r="166" spans="1:5" x14ac:dyDescent="0.35">
      <c r="A166">
        <v>4801453</v>
      </c>
      <c r="B166" t="s">
        <v>662</v>
      </c>
      <c r="C166">
        <v>101871</v>
      </c>
      <c r="D166" t="s">
        <v>693</v>
      </c>
      <c r="E166" t="s">
        <v>523</v>
      </c>
    </row>
    <row r="167" spans="1:5" x14ac:dyDescent="0.35">
      <c r="A167">
        <v>4801460</v>
      </c>
      <c r="B167" t="s">
        <v>662</v>
      </c>
      <c r="C167">
        <v>101872</v>
      </c>
      <c r="D167" t="s">
        <v>694</v>
      </c>
      <c r="E167" t="s">
        <v>523</v>
      </c>
    </row>
    <row r="168" spans="1:5" x14ac:dyDescent="0.35">
      <c r="A168">
        <v>4801463</v>
      </c>
      <c r="B168" t="s">
        <v>662</v>
      </c>
      <c r="C168">
        <v>101873</v>
      </c>
      <c r="D168" t="s">
        <v>695</v>
      </c>
      <c r="E168" t="s">
        <v>523</v>
      </c>
    </row>
    <row r="169" spans="1:5" x14ac:dyDescent="0.35">
      <c r="A169">
        <v>4801459</v>
      </c>
      <c r="B169" t="s">
        <v>662</v>
      </c>
      <c r="C169">
        <v>101874</v>
      </c>
      <c r="D169" t="s">
        <v>696</v>
      </c>
      <c r="E169" t="s">
        <v>523</v>
      </c>
    </row>
    <row r="170" spans="1:5" x14ac:dyDescent="0.35">
      <c r="A170">
        <v>4801466</v>
      </c>
      <c r="B170" t="s">
        <v>662</v>
      </c>
      <c r="C170">
        <v>101875</v>
      </c>
      <c r="D170" t="s">
        <v>697</v>
      </c>
      <c r="E170" t="s">
        <v>523</v>
      </c>
    </row>
    <row r="171" spans="1:5" x14ac:dyDescent="0.35">
      <c r="A171">
        <v>4801465</v>
      </c>
      <c r="B171" t="s">
        <v>662</v>
      </c>
      <c r="C171">
        <v>101876</v>
      </c>
      <c r="D171" t="s">
        <v>698</v>
      </c>
      <c r="E171" t="s">
        <v>523</v>
      </c>
    </row>
    <row r="172" spans="1:5" x14ac:dyDescent="0.35">
      <c r="A172">
        <v>4801470</v>
      </c>
      <c r="B172" t="s">
        <v>662</v>
      </c>
      <c r="C172">
        <v>101877</v>
      </c>
      <c r="D172" t="s">
        <v>699</v>
      </c>
      <c r="E172" t="s">
        <v>523</v>
      </c>
    </row>
    <row r="173" spans="1:5" x14ac:dyDescent="0.35">
      <c r="A173">
        <v>4801469</v>
      </c>
      <c r="B173" t="s">
        <v>662</v>
      </c>
      <c r="C173">
        <v>101878</v>
      </c>
      <c r="D173" t="s">
        <v>700</v>
      </c>
      <c r="E173" t="s">
        <v>523</v>
      </c>
    </row>
    <row r="174" spans="1:5" x14ac:dyDescent="0.35">
      <c r="A174">
        <v>4899133</v>
      </c>
      <c r="B174" t="s">
        <v>662</v>
      </c>
      <c r="C174">
        <v>101879</v>
      </c>
      <c r="D174" t="s">
        <v>701</v>
      </c>
      <c r="E174" t="s">
        <v>523</v>
      </c>
    </row>
    <row r="175" spans="1:5" x14ac:dyDescent="0.35">
      <c r="A175">
        <v>4899134</v>
      </c>
      <c r="B175" t="s">
        <v>662</v>
      </c>
      <c r="C175">
        <v>101880</v>
      </c>
      <c r="D175" t="s">
        <v>702</v>
      </c>
      <c r="E175" t="s">
        <v>523</v>
      </c>
    </row>
    <row r="176" spans="1:5" x14ac:dyDescent="0.35">
      <c r="A176">
        <v>4899135</v>
      </c>
      <c r="B176" t="s">
        <v>662</v>
      </c>
      <c r="C176">
        <v>101881</v>
      </c>
      <c r="D176" t="s">
        <v>703</v>
      </c>
      <c r="E176" t="s">
        <v>523</v>
      </c>
    </row>
    <row r="177" spans="1:5" x14ac:dyDescent="0.35">
      <c r="A177">
        <v>4807710</v>
      </c>
      <c r="B177" t="s">
        <v>662</v>
      </c>
      <c r="C177">
        <v>101902</v>
      </c>
      <c r="D177" t="s">
        <v>704</v>
      </c>
      <c r="E177" t="s">
        <v>551</v>
      </c>
    </row>
    <row r="178" spans="1:5" x14ac:dyDescent="0.35">
      <c r="A178">
        <v>4807830</v>
      </c>
      <c r="B178" t="s">
        <v>662</v>
      </c>
      <c r="C178">
        <v>101903</v>
      </c>
      <c r="D178" t="s">
        <v>705</v>
      </c>
      <c r="E178" t="s">
        <v>551</v>
      </c>
    </row>
    <row r="179" spans="1:5" x14ac:dyDescent="0.35">
      <c r="A179">
        <v>4813590</v>
      </c>
      <c r="B179" t="s">
        <v>662</v>
      </c>
      <c r="C179">
        <v>101905</v>
      </c>
      <c r="D179" t="s">
        <v>706</v>
      </c>
      <c r="E179" t="s">
        <v>551</v>
      </c>
    </row>
    <row r="180" spans="1:5" x14ac:dyDescent="0.35">
      <c r="A180">
        <v>4815750</v>
      </c>
      <c r="B180" t="s">
        <v>662</v>
      </c>
      <c r="C180">
        <v>101906</v>
      </c>
      <c r="D180" t="s">
        <v>707</v>
      </c>
      <c r="E180" t="s">
        <v>551</v>
      </c>
    </row>
    <row r="181" spans="1:5" x14ac:dyDescent="0.35">
      <c r="A181">
        <v>4816110</v>
      </c>
      <c r="B181" t="s">
        <v>662</v>
      </c>
      <c r="C181">
        <v>101907</v>
      </c>
      <c r="D181" t="s">
        <v>708</v>
      </c>
      <c r="E181" t="s">
        <v>551</v>
      </c>
    </row>
    <row r="182" spans="1:5" x14ac:dyDescent="0.35">
      <c r="A182">
        <v>4816530</v>
      </c>
      <c r="B182" t="s">
        <v>662</v>
      </c>
      <c r="C182">
        <v>101908</v>
      </c>
      <c r="D182" t="s">
        <v>709</v>
      </c>
      <c r="E182" t="s">
        <v>551</v>
      </c>
    </row>
    <row r="183" spans="1:5" x14ac:dyDescent="0.35">
      <c r="A183">
        <v>4820250</v>
      </c>
      <c r="B183" t="s">
        <v>662</v>
      </c>
      <c r="C183">
        <v>101910</v>
      </c>
      <c r="D183" t="s">
        <v>710</v>
      </c>
      <c r="E183" t="s">
        <v>551</v>
      </c>
    </row>
    <row r="184" spans="1:5" x14ac:dyDescent="0.35">
      <c r="A184">
        <v>4821150</v>
      </c>
      <c r="B184" t="s">
        <v>662</v>
      </c>
      <c r="C184">
        <v>101911</v>
      </c>
      <c r="D184" t="s">
        <v>711</v>
      </c>
      <c r="E184" t="s">
        <v>551</v>
      </c>
    </row>
    <row r="185" spans="1:5" x14ac:dyDescent="0.35">
      <c r="A185">
        <v>4823640</v>
      </c>
      <c r="B185" t="s">
        <v>662</v>
      </c>
      <c r="C185">
        <v>101912</v>
      </c>
      <c r="D185" t="s">
        <v>712</v>
      </c>
      <c r="E185" t="s">
        <v>551</v>
      </c>
    </row>
    <row r="186" spans="1:5" x14ac:dyDescent="0.35">
      <c r="A186">
        <v>4823910</v>
      </c>
      <c r="B186" t="s">
        <v>662</v>
      </c>
      <c r="C186">
        <v>101913</v>
      </c>
      <c r="D186" t="s">
        <v>713</v>
      </c>
      <c r="E186" t="s">
        <v>551</v>
      </c>
    </row>
    <row r="187" spans="1:5" x14ac:dyDescent="0.35">
      <c r="A187">
        <v>4825170</v>
      </c>
      <c r="B187" t="s">
        <v>662</v>
      </c>
      <c r="C187">
        <v>101914</v>
      </c>
      <c r="D187" t="s">
        <v>714</v>
      </c>
      <c r="E187" t="s">
        <v>551</v>
      </c>
    </row>
    <row r="188" spans="1:5" x14ac:dyDescent="0.35">
      <c r="A188">
        <v>4825740</v>
      </c>
      <c r="B188" t="s">
        <v>662</v>
      </c>
      <c r="C188">
        <v>101915</v>
      </c>
      <c r="D188" t="s">
        <v>715</v>
      </c>
      <c r="E188" t="s">
        <v>551</v>
      </c>
    </row>
    <row r="189" spans="1:5" x14ac:dyDescent="0.35">
      <c r="A189">
        <v>4826190</v>
      </c>
      <c r="B189" t="s">
        <v>662</v>
      </c>
      <c r="C189">
        <v>101916</v>
      </c>
      <c r="D189" t="s">
        <v>716</v>
      </c>
      <c r="E189" t="s">
        <v>551</v>
      </c>
    </row>
    <row r="190" spans="1:5" x14ac:dyDescent="0.35">
      <c r="A190">
        <v>4834320</v>
      </c>
      <c r="B190" t="s">
        <v>662</v>
      </c>
      <c r="C190">
        <v>101917</v>
      </c>
      <c r="D190" t="s">
        <v>717</v>
      </c>
      <c r="E190" t="s">
        <v>551</v>
      </c>
    </row>
    <row r="191" spans="1:5" x14ac:dyDescent="0.35">
      <c r="A191">
        <v>4841220</v>
      </c>
      <c r="B191" t="s">
        <v>662</v>
      </c>
      <c r="C191">
        <v>101919</v>
      </c>
      <c r="D191" t="s">
        <v>718</v>
      </c>
      <c r="E191" t="s">
        <v>551</v>
      </c>
    </row>
    <row r="192" spans="1:5" x14ac:dyDescent="0.35">
      <c r="A192">
        <v>4841100</v>
      </c>
      <c r="B192" t="s">
        <v>662</v>
      </c>
      <c r="C192">
        <v>101920</v>
      </c>
      <c r="D192" t="s">
        <v>719</v>
      </c>
      <c r="E192" t="s">
        <v>551</v>
      </c>
    </row>
    <row r="193" spans="1:5" x14ac:dyDescent="0.35">
      <c r="A193">
        <v>4842960</v>
      </c>
      <c r="B193" t="s">
        <v>662</v>
      </c>
      <c r="C193">
        <v>101921</v>
      </c>
      <c r="D193" t="s">
        <v>720</v>
      </c>
      <c r="E193" t="s">
        <v>551</v>
      </c>
    </row>
    <row r="194" spans="1:5" x14ac:dyDescent="0.35">
      <c r="A194">
        <v>4839990</v>
      </c>
      <c r="B194" t="s">
        <v>662</v>
      </c>
      <c r="C194">
        <v>101924</v>
      </c>
      <c r="D194" t="s">
        <v>721</v>
      </c>
      <c r="E194" t="s">
        <v>551</v>
      </c>
    </row>
    <row r="195" spans="1:5" x14ac:dyDescent="0.35">
      <c r="A195">
        <v>4823820</v>
      </c>
      <c r="B195" t="s">
        <v>662</v>
      </c>
      <c r="C195">
        <v>101925</v>
      </c>
      <c r="D195" t="s">
        <v>722</v>
      </c>
      <c r="E195" t="s">
        <v>551</v>
      </c>
    </row>
    <row r="196" spans="1:5" x14ac:dyDescent="0.35">
      <c r="A196">
        <v>4800065</v>
      </c>
      <c r="B196" t="s">
        <v>723</v>
      </c>
      <c r="C196">
        <v>108802</v>
      </c>
      <c r="D196" t="s">
        <v>724</v>
      </c>
      <c r="E196" t="s">
        <v>523</v>
      </c>
    </row>
    <row r="197" spans="1:5" x14ac:dyDescent="0.35">
      <c r="A197">
        <v>4800133</v>
      </c>
      <c r="B197" t="s">
        <v>723</v>
      </c>
      <c r="C197">
        <v>108804</v>
      </c>
      <c r="D197" t="s">
        <v>725</v>
      </c>
      <c r="E197" t="s">
        <v>523</v>
      </c>
    </row>
    <row r="198" spans="1:5" x14ac:dyDescent="0.35">
      <c r="A198">
        <v>4800211</v>
      </c>
      <c r="B198" t="s">
        <v>723</v>
      </c>
      <c r="C198">
        <v>108807</v>
      </c>
      <c r="D198" t="s">
        <v>726</v>
      </c>
      <c r="E198" t="s">
        <v>523</v>
      </c>
    </row>
    <row r="199" spans="1:5" x14ac:dyDescent="0.35">
      <c r="A199">
        <v>4800195</v>
      </c>
      <c r="B199" t="s">
        <v>723</v>
      </c>
      <c r="C199">
        <v>108808</v>
      </c>
      <c r="D199" t="s">
        <v>727</v>
      </c>
      <c r="E199" t="s">
        <v>523</v>
      </c>
    </row>
    <row r="200" spans="1:5" x14ac:dyDescent="0.35">
      <c r="A200">
        <v>4801433</v>
      </c>
      <c r="B200" t="s">
        <v>723</v>
      </c>
      <c r="C200">
        <v>108809</v>
      </c>
      <c r="D200" t="s">
        <v>728</v>
      </c>
      <c r="E200" t="s">
        <v>523</v>
      </c>
    </row>
    <row r="201" spans="1:5" x14ac:dyDescent="0.35">
      <c r="A201">
        <v>4801475</v>
      </c>
      <c r="B201" t="s">
        <v>723</v>
      </c>
      <c r="C201">
        <v>108810</v>
      </c>
      <c r="D201" t="s">
        <v>729</v>
      </c>
      <c r="E201" t="s">
        <v>523</v>
      </c>
    </row>
    <row r="202" spans="1:5" x14ac:dyDescent="0.35">
      <c r="A202">
        <v>4817390</v>
      </c>
      <c r="B202" t="s">
        <v>723</v>
      </c>
      <c r="C202">
        <v>108902</v>
      </c>
      <c r="D202" t="s">
        <v>730</v>
      </c>
      <c r="E202" t="s">
        <v>551</v>
      </c>
    </row>
    <row r="203" spans="1:5" x14ac:dyDescent="0.35">
      <c r="A203">
        <v>4818060</v>
      </c>
      <c r="B203" t="s">
        <v>723</v>
      </c>
      <c r="C203">
        <v>108903</v>
      </c>
      <c r="D203" t="s">
        <v>731</v>
      </c>
      <c r="E203" t="s">
        <v>551</v>
      </c>
    </row>
    <row r="204" spans="1:5" x14ac:dyDescent="0.35">
      <c r="A204">
        <v>4818180</v>
      </c>
      <c r="B204" t="s">
        <v>723</v>
      </c>
      <c r="C204">
        <v>108904</v>
      </c>
      <c r="D204" t="s">
        <v>732</v>
      </c>
      <c r="E204" t="s">
        <v>551</v>
      </c>
    </row>
    <row r="205" spans="1:5" x14ac:dyDescent="0.35">
      <c r="A205">
        <v>4823100</v>
      </c>
      <c r="B205" t="s">
        <v>723</v>
      </c>
      <c r="C205">
        <v>108905</v>
      </c>
      <c r="D205" t="s">
        <v>733</v>
      </c>
      <c r="E205" t="s">
        <v>551</v>
      </c>
    </row>
    <row r="206" spans="1:5" x14ac:dyDescent="0.35">
      <c r="A206">
        <v>4829670</v>
      </c>
      <c r="B206" t="s">
        <v>723</v>
      </c>
      <c r="C206">
        <v>108906</v>
      </c>
      <c r="D206" t="s">
        <v>734</v>
      </c>
      <c r="E206" t="s">
        <v>551</v>
      </c>
    </row>
    <row r="207" spans="1:5" x14ac:dyDescent="0.35">
      <c r="A207">
        <v>4830250</v>
      </c>
      <c r="B207" t="s">
        <v>723</v>
      </c>
      <c r="C207">
        <v>108907</v>
      </c>
      <c r="D207" t="s">
        <v>735</v>
      </c>
      <c r="E207" t="s">
        <v>551</v>
      </c>
    </row>
    <row r="208" spans="1:5" x14ac:dyDescent="0.35">
      <c r="A208">
        <v>4831040</v>
      </c>
      <c r="B208" t="s">
        <v>723</v>
      </c>
      <c r="C208">
        <v>108908</v>
      </c>
      <c r="D208" t="s">
        <v>736</v>
      </c>
      <c r="E208" t="s">
        <v>551</v>
      </c>
    </row>
    <row r="209" spans="1:5" x14ac:dyDescent="0.35">
      <c r="A209">
        <v>4834860</v>
      </c>
      <c r="B209" t="s">
        <v>723</v>
      </c>
      <c r="C209">
        <v>108909</v>
      </c>
      <c r="D209" t="s">
        <v>737</v>
      </c>
      <c r="E209" t="s">
        <v>551</v>
      </c>
    </row>
    <row r="210" spans="1:5" x14ac:dyDescent="0.35">
      <c r="A210">
        <v>4835910</v>
      </c>
      <c r="B210" t="s">
        <v>723</v>
      </c>
      <c r="C210">
        <v>108910</v>
      </c>
      <c r="D210" t="s">
        <v>738</v>
      </c>
      <c r="E210" t="s">
        <v>551</v>
      </c>
    </row>
    <row r="211" spans="1:5" x14ac:dyDescent="0.35">
      <c r="A211">
        <v>4839930</v>
      </c>
      <c r="B211" t="s">
        <v>723</v>
      </c>
      <c r="C211">
        <v>108911</v>
      </c>
      <c r="D211" t="s">
        <v>739</v>
      </c>
      <c r="E211" t="s">
        <v>551</v>
      </c>
    </row>
    <row r="212" spans="1:5" x14ac:dyDescent="0.35">
      <c r="A212">
        <v>4826130</v>
      </c>
      <c r="B212" t="s">
        <v>723</v>
      </c>
      <c r="C212">
        <v>108912</v>
      </c>
      <c r="D212" t="s">
        <v>740</v>
      </c>
      <c r="E212" t="s">
        <v>551</v>
      </c>
    </row>
    <row r="213" spans="1:5" x14ac:dyDescent="0.35">
      <c r="A213">
        <v>4844960</v>
      </c>
      <c r="B213" t="s">
        <v>723</v>
      </c>
      <c r="C213">
        <v>108913</v>
      </c>
      <c r="D213" t="s">
        <v>741</v>
      </c>
      <c r="E213" t="s">
        <v>551</v>
      </c>
    </row>
    <row r="214" spans="1:5" x14ac:dyDescent="0.35">
      <c r="A214">
        <v>4826340</v>
      </c>
      <c r="B214" t="s">
        <v>723</v>
      </c>
      <c r="C214">
        <v>108914</v>
      </c>
      <c r="D214" t="s">
        <v>742</v>
      </c>
      <c r="E214" t="s">
        <v>551</v>
      </c>
    </row>
    <row r="215" spans="1:5" x14ac:dyDescent="0.35">
      <c r="A215">
        <v>4831230</v>
      </c>
      <c r="B215" t="s">
        <v>723</v>
      </c>
      <c r="C215">
        <v>108915</v>
      </c>
      <c r="D215" t="s">
        <v>743</v>
      </c>
      <c r="E215" t="s">
        <v>551</v>
      </c>
    </row>
    <row r="216" spans="1:5" x14ac:dyDescent="0.35">
      <c r="A216">
        <v>4843800</v>
      </c>
      <c r="B216" t="s">
        <v>723</v>
      </c>
      <c r="C216">
        <v>108916</v>
      </c>
      <c r="D216" t="s">
        <v>744</v>
      </c>
      <c r="E216" t="s">
        <v>551</v>
      </c>
    </row>
    <row r="217" spans="1:5" x14ac:dyDescent="0.35">
      <c r="A217">
        <v>4800068</v>
      </c>
      <c r="B217" t="s">
        <v>745</v>
      </c>
      <c r="C217">
        <v>220801</v>
      </c>
      <c r="D217" t="s">
        <v>746</v>
      </c>
      <c r="E217" t="s">
        <v>523</v>
      </c>
    </row>
    <row r="218" spans="1:5" x14ac:dyDescent="0.35">
      <c r="A218">
        <v>4800158</v>
      </c>
      <c r="B218" t="s">
        <v>745</v>
      </c>
      <c r="C218">
        <v>220802</v>
      </c>
      <c r="D218" t="s">
        <v>747</v>
      </c>
      <c r="E218" t="s">
        <v>523</v>
      </c>
    </row>
    <row r="219" spans="1:5" x14ac:dyDescent="0.35">
      <c r="A219">
        <v>4800231</v>
      </c>
      <c r="B219" t="s">
        <v>745</v>
      </c>
      <c r="C219">
        <v>220809</v>
      </c>
      <c r="D219" t="s">
        <v>748</v>
      </c>
      <c r="E219" t="s">
        <v>523</v>
      </c>
    </row>
    <row r="220" spans="1:5" x14ac:dyDescent="0.35">
      <c r="A220">
        <v>4800254</v>
      </c>
      <c r="B220" t="s">
        <v>745</v>
      </c>
      <c r="C220">
        <v>220810</v>
      </c>
      <c r="D220" t="s">
        <v>749</v>
      </c>
      <c r="E220" t="s">
        <v>523</v>
      </c>
    </row>
    <row r="221" spans="1:5" x14ac:dyDescent="0.35">
      <c r="A221">
        <v>4800255</v>
      </c>
      <c r="B221" t="s">
        <v>745</v>
      </c>
      <c r="C221">
        <v>220811</v>
      </c>
      <c r="D221" t="s">
        <v>750</v>
      </c>
      <c r="E221" t="s">
        <v>523</v>
      </c>
    </row>
    <row r="222" spans="1:5" x14ac:dyDescent="0.35">
      <c r="A222">
        <v>4800287</v>
      </c>
      <c r="B222" t="s">
        <v>745</v>
      </c>
      <c r="C222">
        <v>220814</v>
      </c>
      <c r="D222" t="s">
        <v>751</v>
      </c>
      <c r="E222" t="s">
        <v>523</v>
      </c>
    </row>
    <row r="223" spans="1:5" x14ac:dyDescent="0.35">
      <c r="A223">
        <v>4801421</v>
      </c>
      <c r="B223" t="s">
        <v>745</v>
      </c>
      <c r="C223">
        <v>220817</v>
      </c>
      <c r="D223" t="s">
        <v>752</v>
      </c>
      <c r="E223" t="s">
        <v>523</v>
      </c>
    </row>
    <row r="224" spans="1:5" x14ac:dyDescent="0.35">
      <c r="A224">
        <v>4801482</v>
      </c>
      <c r="B224" t="s">
        <v>745</v>
      </c>
      <c r="C224">
        <v>220820</v>
      </c>
      <c r="D224" t="s">
        <v>753</v>
      </c>
      <c r="E224" t="s">
        <v>523</v>
      </c>
    </row>
    <row r="225" spans="1:5" x14ac:dyDescent="0.35">
      <c r="A225">
        <v>4899131</v>
      </c>
      <c r="B225" t="s">
        <v>745</v>
      </c>
      <c r="C225">
        <v>220821</v>
      </c>
      <c r="D225" t="s">
        <v>754</v>
      </c>
      <c r="E225" t="s">
        <v>523</v>
      </c>
    </row>
    <row r="226" spans="1:5" x14ac:dyDescent="0.35">
      <c r="B226" t="s">
        <v>745</v>
      </c>
      <c r="C226">
        <v>220822</v>
      </c>
      <c r="D226" t="s">
        <v>755</v>
      </c>
      <c r="E226" t="s">
        <v>523</v>
      </c>
    </row>
    <row r="227" spans="1:5" x14ac:dyDescent="0.35">
      <c r="B227" t="s">
        <v>745</v>
      </c>
      <c r="C227">
        <v>220823</v>
      </c>
      <c r="D227" t="s">
        <v>756</v>
      </c>
      <c r="E227" t="s">
        <v>523</v>
      </c>
    </row>
    <row r="228" spans="1:5" x14ac:dyDescent="0.35">
      <c r="A228">
        <v>4808700</v>
      </c>
      <c r="B228" t="s">
        <v>745</v>
      </c>
      <c r="C228">
        <v>220901</v>
      </c>
      <c r="D228" t="s">
        <v>757</v>
      </c>
      <c r="E228" t="s">
        <v>551</v>
      </c>
    </row>
    <row r="229" spans="1:5" x14ac:dyDescent="0.35">
      <c r="A229">
        <v>4810230</v>
      </c>
      <c r="B229" t="s">
        <v>745</v>
      </c>
      <c r="C229">
        <v>220902</v>
      </c>
      <c r="D229" t="s">
        <v>758</v>
      </c>
      <c r="E229" t="s">
        <v>551</v>
      </c>
    </row>
    <row r="230" spans="1:5" x14ac:dyDescent="0.35">
      <c r="A230">
        <v>4818810</v>
      </c>
      <c r="B230" t="s">
        <v>745</v>
      </c>
      <c r="C230">
        <v>220904</v>
      </c>
      <c r="D230" t="s">
        <v>759</v>
      </c>
      <c r="E230" t="s">
        <v>551</v>
      </c>
    </row>
    <row r="231" spans="1:5" x14ac:dyDescent="0.35">
      <c r="A231">
        <v>4819700</v>
      </c>
      <c r="B231" t="s">
        <v>745</v>
      </c>
      <c r="C231">
        <v>220905</v>
      </c>
      <c r="D231" t="s">
        <v>760</v>
      </c>
      <c r="E231" t="s">
        <v>551</v>
      </c>
    </row>
    <row r="232" spans="1:5" x14ac:dyDescent="0.35">
      <c r="A232">
        <v>4821660</v>
      </c>
      <c r="B232" t="s">
        <v>745</v>
      </c>
      <c r="C232">
        <v>220906</v>
      </c>
      <c r="D232" t="s">
        <v>761</v>
      </c>
      <c r="E232" t="s">
        <v>551</v>
      </c>
    </row>
    <row r="233" spans="1:5" x14ac:dyDescent="0.35">
      <c r="A233">
        <v>4825260</v>
      </c>
      <c r="B233" t="s">
        <v>745</v>
      </c>
      <c r="C233">
        <v>220907</v>
      </c>
      <c r="D233" t="s">
        <v>762</v>
      </c>
      <c r="E233" t="s">
        <v>551</v>
      </c>
    </row>
    <row r="234" spans="1:5" x14ac:dyDescent="0.35">
      <c r="A234">
        <v>4828920</v>
      </c>
      <c r="B234" t="s">
        <v>745</v>
      </c>
      <c r="C234">
        <v>220908</v>
      </c>
      <c r="D234" t="s">
        <v>763</v>
      </c>
      <c r="E234" t="s">
        <v>551</v>
      </c>
    </row>
    <row r="235" spans="1:5" x14ac:dyDescent="0.35">
      <c r="A235">
        <v>4826490</v>
      </c>
      <c r="B235" t="s">
        <v>745</v>
      </c>
      <c r="C235">
        <v>220910</v>
      </c>
      <c r="D235" t="s">
        <v>764</v>
      </c>
      <c r="E235" t="s">
        <v>551</v>
      </c>
    </row>
    <row r="236" spans="1:5" x14ac:dyDescent="0.35">
      <c r="A236">
        <v>4815910</v>
      </c>
      <c r="B236" t="s">
        <v>745</v>
      </c>
      <c r="C236">
        <v>220912</v>
      </c>
      <c r="D236" t="s">
        <v>765</v>
      </c>
      <c r="E236" t="s">
        <v>551</v>
      </c>
    </row>
    <row r="237" spans="1:5" x14ac:dyDescent="0.35">
      <c r="A237">
        <v>4825500</v>
      </c>
      <c r="B237" t="s">
        <v>745</v>
      </c>
      <c r="C237">
        <v>220914</v>
      </c>
      <c r="D237" t="s">
        <v>766</v>
      </c>
      <c r="E237" t="s">
        <v>551</v>
      </c>
    </row>
    <row r="238" spans="1:5" x14ac:dyDescent="0.35">
      <c r="A238">
        <v>4809200</v>
      </c>
      <c r="B238" t="s">
        <v>745</v>
      </c>
      <c r="C238">
        <v>220915</v>
      </c>
      <c r="D238" t="s">
        <v>767</v>
      </c>
      <c r="E238" t="s">
        <v>551</v>
      </c>
    </row>
    <row r="239" spans="1:5" x14ac:dyDescent="0.35">
      <c r="A239">
        <v>4824060</v>
      </c>
      <c r="B239" t="s">
        <v>745</v>
      </c>
      <c r="C239">
        <v>220916</v>
      </c>
      <c r="D239" t="s">
        <v>768</v>
      </c>
      <c r="E239" t="s">
        <v>551</v>
      </c>
    </row>
    <row r="240" spans="1:5" x14ac:dyDescent="0.35">
      <c r="A240">
        <v>4813170</v>
      </c>
      <c r="B240" t="s">
        <v>745</v>
      </c>
      <c r="C240">
        <v>220917</v>
      </c>
      <c r="D240" t="s">
        <v>769</v>
      </c>
      <c r="E240" t="s">
        <v>551</v>
      </c>
    </row>
    <row r="241" spans="1:5" x14ac:dyDescent="0.35">
      <c r="A241">
        <v>4817700</v>
      </c>
      <c r="B241" t="s">
        <v>745</v>
      </c>
      <c r="C241">
        <v>220918</v>
      </c>
      <c r="D241" t="s">
        <v>770</v>
      </c>
      <c r="E241" t="s">
        <v>551</v>
      </c>
    </row>
    <row r="242" spans="1:5" x14ac:dyDescent="0.35">
      <c r="A242">
        <v>4813020</v>
      </c>
      <c r="B242" t="s">
        <v>745</v>
      </c>
      <c r="C242">
        <v>220919</v>
      </c>
      <c r="D242" t="s">
        <v>771</v>
      </c>
      <c r="E242" t="s">
        <v>551</v>
      </c>
    </row>
    <row r="243" spans="1:5" x14ac:dyDescent="0.35">
      <c r="A243">
        <v>4845540</v>
      </c>
      <c r="B243" t="s">
        <v>745</v>
      </c>
      <c r="C243">
        <v>220920</v>
      </c>
      <c r="D243" t="s">
        <v>772</v>
      </c>
      <c r="E243" t="s">
        <v>551</v>
      </c>
    </row>
    <row r="244" spans="1:5" x14ac:dyDescent="0.35">
      <c r="A244">
        <v>4801473</v>
      </c>
      <c r="B244" t="s">
        <v>773</v>
      </c>
      <c r="C244">
        <v>227506</v>
      </c>
      <c r="D244" t="s">
        <v>774</v>
      </c>
      <c r="E244" t="s">
        <v>551</v>
      </c>
    </row>
    <row r="245" spans="1:5" x14ac:dyDescent="0.35">
      <c r="A245">
        <v>4801432</v>
      </c>
      <c r="B245" t="s">
        <v>773</v>
      </c>
      <c r="C245">
        <v>227622</v>
      </c>
      <c r="D245" t="s">
        <v>775</v>
      </c>
      <c r="E245" t="s">
        <v>776</v>
      </c>
    </row>
    <row r="246" spans="1:5" x14ac:dyDescent="0.35">
      <c r="A246">
        <v>4800044</v>
      </c>
      <c r="B246" t="s">
        <v>773</v>
      </c>
      <c r="C246">
        <v>227803</v>
      </c>
      <c r="D246" t="s">
        <v>777</v>
      </c>
      <c r="E246" t="s">
        <v>523</v>
      </c>
    </row>
    <row r="247" spans="1:5" x14ac:dyDescent="0.35">
      <c r="A247">
        <v>4800058</v>
      </c>
      <c r="B247" t="s">
        <v>773</v>
      </c>
      <c r="C247">
        <v>227804</v>
      </c>
      <c r="D247" t="s">
        <v>778</v>
      </c>
      <c r="E247" t="s">
        <v>523</v>
      </c>
    </row>
    <row r="248" spans="1:5" x14ac:dyDescent="0.35">
      <c r="A248">
        <v>4800066</v>
      </c>
      <c r="B248" t="s">
        <v>773</v>
      </c>
      <c r="C248">
        <v>227805</v>
      </c>
      <c r="D248" t="s">
        <v>779</v>
      </c>
      <c r="E248" t="s">
        <v>523</v>
      </c>
    </row>
    <row r="249" spans="1:5" x14ac:dyDescent="0.35">
      <c r="A249">
        <v>4800071</v>
      </c>
      <c r="B249" t="s">
        <v>773</v>
      </c>
      <c r="C249">
        <v>227806</v>
      </c>
      <c r="D249" t="s">
        <v>780</v>
      </c>
      <c r="E249" t="s">
        <v>523</v>
      </c>
    </row>
    <row r="250" spans="1:5" x14ac:dyDescent="0.35">
      <c r="A250">
        <v>4800064</v>
      </c>
      <c r="B250" t="s">
        <v>773</v>
      </c>
      <c r="C250">
        <v>227814</v>
      </c>
      <c r="D250" t="s">
        <v>781</v>
      </c>
      <c r="E250" t="s">
        <v>523</v>
      </c>
    </row>
    <row r="251" spans="1:5" x14ac:dyDescent="0.35">
      <c r="A251">
        <v>4800241</v>
      </c>
      <c r="B251" t="s">
        <v>773</v>
      </c>
      <c r="C251">
        <v>227816</v>
      </c>
      <c r="D251" t="s">
        <v>782</v>
      </c>
      <c r="E251" t="s">
        <v>523</v>
      </c>
    </row>
    <row r="252" spans="1:5" x14ac:dyDescent="0.35">
      <c r="A252">
        <v>4800232</v>
      </c>
      <c r="B252" t="s">
        <v>773</v>
      </c>
      <c r="C252">
        <v>227817</v>
      </c>
      <c r="D252" t="s">
        <v>783</v>
      </c>
      <c r="E252" t="s">
        <v>523</v>
      </c>
    </row>
    <row r="253" spans="1:5" x14ac:dyDescent="0.35">
      <c r="A253">
        <v>4800251</v>
      </c>
      <c r="B253" t="s">
        <v>773</v>
      </c>
      <c r="C253">
        <v>227819</v>
      </c>
      <c r="D253" t="s">
        <v>784</v>
      </c>
      <c r="E253" t="s">
        <v>523</v>
      </c>
    </row>
    <row r="254" spans="1:5" x14ac:dyDescent="0.35">
      <c r="A254">
        <v>4800264</v>
      </c>
      <c r="B254" t="s">
        <v>773</v>
      </c>
      <c r="C254">
        <v>227820</v>
      </c>
      <c r="D254" t="s">
        <v>785</v>
      </c>
      <c r="E254" t="s">
        <v>523</v>
      </c>
    </row>
    <row r="255" spans="1:5" x14ac:dyDescent="0.35">
      <c r="A255">
        <v>4800265</v>
      </c>
      <c r="B255" t="s">
        <v>773</v>
      </c>
      <c r="C255">
        <v>227821</v>
      </c>
      <c r="D255" t="s">
        <v>786</v>
      </c>
      <c r="E255" t="s">
        <v>523</v>
      </c>
    </row>
    <row r="256" spans="1:5" x14ac:dyDescent="0.35">
      <c r="A256">
        <v>4801414</v>
      </c>
      <c r="B256" t="s">
        <v>773</v>
      </c>
      <c r="C256">
        <v>227824</v>
      </c>
      <c r="D256" t="s">
        <v>787</v>
      </c>
      <c r="E256" t="s">
        <v>523</v>
      </c>
    </row>
    <row r="257" spans="1:5" x14ac:dyDescent="0.35">
      <c r="A257">
        <v>4801431</v>
      </c>
      <c r="B257" t="s">
        <v>773</v>
      </c>
      <c r="C257">
        <v>227825</v>
      </c>
      <c r="D257" t="s">
        <v>788</v>
      </c>
      <c r="E257" t="s">
        <v>523</v>
      </c>
    </row>
    <row r="258" spans="1:5" x14ac:dyDescent="0.35">
      <c r="A258">
        <v>4801442</v>
      </c>
      <c r="B258" t="s">
        <v>773</v>
      </c>
      <c r="C258">
        <v>227826</v>
      </c>
      <c r="D258" t="s">
        <v>789</v>
      </c>
      <c r="E258" t="s">
        <v>523</v>
      </c>
    </row>
    <row r="259" spans="1:5" x14ac:dyDescent="0.35">
      <c r="A259">
        <v>4801448</v>
      </c>
      <c r="B259" t="s">
        <v>773</v>
      </c>
      <c r="C259">
        <v>227827</v>
      </c>
      <c r="D259" t="s">
        <v>790</v>
      </c>
      <c r="E259" t="s">
        <v>523</v>
      </c>
    </row>
    <row r="260" spans="1:5" x14ac:dyDescent="0.35">
      <c r="A260">
        <v>4801461</v>
      </c>
      <c r="B260" t="s">
        <v>773</v>
      </c>
      <c r="C260">
        <v>227829</v>
      </c>
      <c r="D260" t="s">
        <v>791</v>
      </c>
      <c r="E260" t="s">
        <v>523</v>
      </c>
    </row>
    <row r="261" spans="1:5" x14ac:dyDescent="0.35">
      <c r="B261" t="s">
        <v>773</v>
      </c>
      <c r="C261">
        <v>227831</v>
      </c>
      <c r="D261" t="s">
        <v>792</v>
      </c>
      <c r="E261" t="s">
        <v>523</v>
      </c>
    </row>
    <row r="262" spans="1:5" x14ac:dyDescent="0.35">
      <c r="A262">
        <v>4808940</v>
      </c>
      <c r="B262" t="s">
        <v>773</v>
      </c>
      <c r="C262">
        <v>227901</v>
      </c>
      <c r="D262" t="s">
        <v>793</v>
      </c>
      <c r="E262" t="s">
        <v>551</v>
      </c>
    </row>
    <row r="263" spans="1:5" x14ac:dyDescent="0.35">
      <c r="A263">
        <v>4834830</v>
      </c>
      <c r="B263" t="s">
        <v>773</v>
      </c>
      <c r="C263">
        <v>227904</v>
      </c>
      <c r="D263" t="s">
        <v>794</v>
      </c>
      <c r="E263" t="s">
        <v>551</v>
      </c>
    </row>
    <row r="264" spans="1:5" x14ac:dyDescent="0.35">
      <c r="A264">
        <v>4800252</v>
      </c>
      <c r="B264" t="s">
        <v>773</v>
      </c>
      <c r="C264">
        <v>227905</v>
      </c>
      <c r="D264" t="s">
        <v>795</v>
      </c>
      <c r="E264" t="s">
        <v>796</v>
      </c>
    </row>
    <row r="265" spans="1:5" x14ac:dyDescent="0.35">
      <c r="A265">
        <v>4800253</v>
      </c>
      <c r="B265" t="s">
        <v>773</v>
      </c>
      <c r="C265">
        <v>227906</v>
      </c>
      <c r="D265" t="s">
        <v>797</v>
      </c>
      <c r="E265" t="s">
        <v>796</v>
      </c>
    </row>
    <row r="266" spans="1:5" x14ac:dyDescent="0.35">
      <c r="A266">
        <v>4828890</v>
      </c>
      <c r="B266" t="s">
        <v>773</v>
      </c>
      <c r="C266">
        <v>227907</v>
      </c>
      <c r="D266" t="s">
        <v>798</v>
      </c>
      <c r="E266" t="s">
        <v>551</v>
      </c>
    </row>
    <row r="267" spans="1:5" x14ac:dyDescent="0.35">
      <c r="A267">
        <v>4817760</v>
      </c>
      <c r="B267" t="s">
        <v>773</v>
      </c>
      <c r="C267">
        <v>227909</v>
      </c>
      <c r="D267" t="s">
        <v>799</v>
      </c>
      <c r="E267" t="s">
        <v>551</v>
      </c>
    </row>
    <row r="268" spans="1:5" x14ac:dyDescent="0.35">
      <c r="A268">
        <v>4816620</v>
      </c>
      <c r="B268" t="s">
        <v>773</v>
      </c>
      <c r="C268">
        <v>227910</v>
      </c>
      <c r="D268" t="s">
        <v>800</v>
      </c>
      <c r="E268" t="s">
        <v>551</v>
      </c>
    </row>
    <row r="269" spans="1:5" x14ac:dyDescent="0.35">
      <c r="A269">
        <v>4826400</v>
      </c>
      <c r="B269" t="s">
        <v>773</v>
      </c>
      <c r="C269">
        <v>227912</v>
      </c>
      <c r="D269" t="s">
        <v>801</v>
      </c>
      <c r="E269" t="s">
        <v>551</v>
      </c>
    </row>
    <row r="270" spans="1:5" x14ac:dyDescent="0.35">
      <c r="A270">
        <v>4826470</v>
      </c>
      <c r="B270" t="s">
        <v>773</v>
      </c>
      <c r="C270">
        <v>227913</v>
      </c>
      <c r="D270" t="s">
        <v>802</v>
      </c>
      <c r="E270" t="s">
        <v>551</v>
      </c>
    </row>
  </sheetData>
  <autoFilter ref="A1:E1" xr:uid="{20EC9F10-43C8-43E6-95ED-DDCE1F7A5FB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68671-BDF9-4C99-80FF-8B99C97E6A56}">
  <dimension ref="C5"/>
  <sheetViews>
    <sheetView workbookViewId="0">
      <selection activeCell="C6" sqref="C6"/>
    </sheetView>
  </sheetViews>
  <sheetFormatPr defaultRowHeight="14.5" x14ac:dyDescent="0.35"/>
  <sheetData>
    <row r="5" spans="3:3" x14ac:dyDescent="0.35">
      <c r="C5" t="s">
        <v>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schools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rebek</dc:creator>
  <cp:lastModifiedBy>Malaika Shah</cp:lastModifiedBy>
  <dcterms:created xsi:type="dcterms:W3CDTF">2021-09-09T16:28:59Z</dcterms:created>
  <dcterms:modified xsi:type="dcterms:W3CDTF">2025-08-09T16:25:45Z</dcterms:modified>
</cp:coreProperties>
</file>
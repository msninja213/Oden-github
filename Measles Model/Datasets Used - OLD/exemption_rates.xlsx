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snin\Downloads\Oden\Oden-github\Measles Model\Datasets Used\"/>
    </mc:Choice>
  </mc:AlternateContent>
  <xr:revisionPtr revIDLastSave="0" documentId="13_ncr:1_{B596BD7C-2284-4821-B16C-80A7F17E75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weighted average" sheetId="3" r:id="rId2"/>
    <sheet name="Sheet2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52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<sst xmlns="http://schemas.openxmlformats.org/spreadsheetml/2006/main" count="375" uniqueCount="270">
  <si>
    <t>County</t>
  </si>
  <si>
    <t>Andrews</t>
  </si>
  <si>
    <t>Atascosa</t>
  </si>
  <si>
    <t>Bailey</t>
  </si>
  <si>
    <t>Bell</t>
  </si>
  <si>
    <t>Bexar</t>
  </si>
  <si>
    <t>Borden</t>
  </si>
  <si>
    <t>Brazoria</t>
  </si>
  <si>
    <t>Brewster</t>
  </si>
  <si>
    <t>Brown</t>
  </si>
  <si>
    <t>Carson</t>
  </si>
  <si>
    <t>Cochran</t>
  </si>
  <si>
    <t>Collin</t>
  </si>
  <si>
    <t>Dallam</t>
  </si>
  <si>
    <t>Dallas</t>
  </si>
  <si>
    <t>Dawson</t>
  </si>
  <si>
    <t>Denton</t>
  </si>
  <si>
    <t>Eastland</t>
  </si>
  <si>
    <t>Ector</t>
  </si>
  <si>
    <t>El Paso</t>
  </si>
  <si>
    <t>Erath</t>
  </si>
  <si>
    <t>Fannin</t>
  </si>
  <si>
    <t>Fort Bend</t>
  </si>
  <si>
    <t>Gaines</t>
  </si>
  <si>
    <t>Garza</t>
  </si>
  <si>
    <t>Hale</t>
  </si>
  <si>
    <t>Hardeman</t>
  </si>
  <si>
    <t>Harris</t>
  </si>
  <si>
    <t>Harrison</t>
  </si>
  <si>
    <t>Hays</t>
  </si>
  <si>
    <t>Hockley</t>
  </si>
  <si>
    <t>Lamar</t>
  </si>
  <si>
    <t>Lamb</t>
  </si>
  <si>
    <t>Lubbock</t>
  </si>
  <si>
    <t>Lynn</t>
  </si>
  <si>
    <t>Martin</t>
  </si>
  <si>
    <t>McLennan</t>
  </si>
  <si>
    <t>Midland</t>
  </si>
  <si>
    <t>Parmer</t>
  </si>
  <si>
    <t>Potter</t>
  </si>
  <si>
    <t>Randall</t>
  </si>
  <si>
    <t>Reeves</t>
  </si>
  <si>
    <t>Rockwall</t>
  </si>
  <si>
    <t>Scurry</t>
  </si>
  <si>
    <t>Shackelford</t>
  </si>
  <si>
    <t>Tarrant</t>
  </si>
  <si>
    <t>Terry</t>
  </si>
  <si>
    <t>Travis</t>
  </si>
  <si>
    <t>Upshur</t>
  </si>
  <si>
    <t>Williamson</t>
  </si>
  <si>
    <t>Yoakum</t>
  </si>
  <si>
    <t>Exemption Rate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</si>
  <si>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</si>
  <si>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</si>
  <si>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</si>
  <si>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</si>
  <si>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</si>
  <si>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</si>
  <si>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</si>
  <si>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</si>
  <si>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</si>
  <si>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</si>
  <si>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</si>
  <si>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Texas</t>
  </si>
  <si>
    <t>Counties</t>
  </si>
  <si>
    <t>Anderson</t>
  </si>
  <si>
    <t>Angelina</t>
  </si>
  <si>
    <t>Aransas</t>
  </si>
  <si>
    <t>Archer</t>
  </si>
  <si>
    <t>Armstrong</t>
  </si>
  <si>
    <t>Austin</t>
  </si>
  <si>
    <t>Bandera</t>
  </si>
  <si>
    <t>Bastrop</t>
  </si>
  <si>
    <t>Baylor</t>
  </si>
  <si>
    <t>Bee</t>
  </si>
  <si>
    <t>Blanco</t>
  </si>
  <si>
    <t>Bosque</t>
  </si>
  <si>
    <t>Bowie</t>
  </si>
  <si>
    <t>Brazos</t>
  </si>
  <si>
    <t>Briscoe</t>
  </si>
  <si>
    <t>Brooks</t>
  </si>
  <si>
    <t>Burleson</t>
  </si>
  <si>
    <t>Burnet</t>
  </si>
  <si>
    <t>Caldwell</t>
  </si>
  <si>
    <t>Calhoun</t>
  </si>
  <si>
    <t>Callahan</t>
  </si>
  <si>
    <t>Cameron</t>
  </si>
  <si>
    <t>Camp</t>
  </si>
  <si>
    <t>Cass</t>
  </si>
  <si>
    <t>Castro</t>
  </si>
  <si>
    <t>Chambers</t>
  </si>
  <si>
    <t>Cherokee</t>
  </si>
  <si>
    <t>Childress</t>
  </si>
  <si>
    <t>Clay</t>
  </si>
  <si>
    <t>Coke</t>
  </si>
  <si>
    <t>Coleman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</si>
  <si>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</si>
  <si>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</si>
  <si>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</si>
  <si>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</si>
  <si>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</si>
  <si>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</si>
  <si>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</si>
  <si>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</si>
  <si>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</si>
  <si>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</si>
  <si>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</si>
  <si>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</si>
  <si>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Deaf Smith</t>
  </si>
  <si>
    <t>Delta</t>
  </si>
  <si>
    <t>DeWitt</t>
  </si>
  <si>
    <t>Dickens</t>
  </si>
  <si>
    <t>Dimmit</t>
  </si>
  <si>
    <t>Donley</t>
  </si>
  <si>
    <t>Duval</t>
  </si>
  <si>
    <t>Edwards</t>
  </si>
  <si>
    <t>Ellis</t>
  </si>
  <si>
    <t>Falls</t>
  </si>
  <si>
    <t>Fayette</t>
  </si>
  <si>
    <t>Fisher</t>
  </si>
  <si>
    <t>Floyd</t>
  </si>
  <si>
    <t>Foard</t>
  </si>
  <si>
    <t>Franklin</t>
  </si>
  <si>
    <t>Freestone</t>
  </si>
  <si>
    <t>Frio</t>
  </si>
  <si>
    <t>Galveston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</si>
  <si>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</si>
  <si>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</si>
  <si>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</si>
  <si>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</si>
  <si>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</si>
  <si>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</si>
  <si>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</si>
  <si>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</si>
  <si>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</si>
  <si>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Hall</t>
  </si>
  <si>
    <t>Hamilton</t>
  </si>
  <si>
    <t>Hansford</t>
  </si>
  <si>
    <t>Hardin</t>
  </si>
  <si>
    <t>Hartley</t>
  </si>
  <si>
    <t>Haskell</t>
  </si>
  <si>
    <t>Hemphill</t>
  </si>
  <si>
    <t>Henderson</t>
  </si>
  <si>
    <t>Hidalgo</t>
  </si>
  <si>
    <t>Hill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</si>
  <si>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</si>
  <si>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</si>
  <si>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</si>
  <si>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</si>
  <si>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</si>
  <si>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</si>
  <si>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</si>
  <si>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</si>
  <si>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</si>
  <si>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</si>
  <si>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</si>
  <si>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</si>
  <si>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</si>
  <si>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</si>
  <si>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</si>
  <si>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</si>
  <si>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</si>
  <si>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</si>
  <si>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</si>
  <si>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</si>
  <si>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</si>
  <si>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</si>
  <si>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</si>
  <si>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</si>
  <si>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</si>
  <si>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</si>
  <si>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</si>
  <si>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</si>
  <si>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</si>
  <si>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</si>
  <si>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</si>
  <si>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</si>
  <si>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</si>
  <si>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</si>
  <si>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</si>
  <si>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</si>
  <si>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</si>
  <si>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</si>
  <si>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</si>
  <si>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Madison</t>
  </si>
  <si>
    <t>Marion</t>
  </si>
  <si>
    <t>Mason</t>
  </si>
  <si>
    <t>Matagorda</t>
  </si>
  <si>
    <t>Maverick</t>
  </si>
  <si>
    <t>McCulloch</t>
  </si>
  <si>
    <t>McMullen</t>
  </si>
  <si>
    <t>Medina</t>
  </si>
  <si>
    <t>Menard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</si>
  <si>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</si>
  <si>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</si>
  <si>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</si>
  <si>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</si>
  <si>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</si>
  <si>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</si>
  <si>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</si>
  <si>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</si>
  <si>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</si>
  <si>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</si>
  <si>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</si>
  <si>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</si>
  <si>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</si>
  <si>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</si>
  <si>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</si>
  <si>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</si>
  <si>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</si>
  <si>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</si>
  <si>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</si>
  <si>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Pecos</t>
  </si>
  <si>
    <t>Polk</t>
  </si>
  <si>
    <t>Presidio</t>
  </si>
  <si>
    <t>Rains</t>
  </si>
  <si>
    <t>Reagan</t>
  </si>
  <si>
    <t>Real</t>
  </si>
  <si>
    <t>Red River</t>
  </si>
  <si>
    <t>Refugio</t>
  </si>
  <si>
    <t>Roberts</t>
  </si>
  <si>
    <t>Robertson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</si>
  <si>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</si>
  <si>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</si>
  <si>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</si>
  <si>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</si>
  <si>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</si>
  <si>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</si>
  <si>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</si>
  <si>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</si>
  <si>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</si>
  <si>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</si>
  <si>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</si>
  <si>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</si>
  <si>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</si>
  <si>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</si>
  <si>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</si>
  <si>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</si>
  <si>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</si>
  <si>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</si>
  <si>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Taylor</t>
  </si>
  <si>
    <t>Terrell</t>
  </si>
  <si>
    <t>Throckmorton</t>
  </si>
  <si>
    <t>Titus</t>
  </si>
  <si>
    <t>Tom Green</t>
  </si>
  <si>
    <t>Trinity</t>
  </si>
  <si>
    <t>Tyler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</si>
  <si>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</si>
  <si>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</si>
  <si>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</si>
  <si>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</si>
  <si>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</si>
  <si>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</si>
  <si>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</si>
  <si>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</si>
  <si>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</si>
  <si>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</si>
  <si>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</si>
  <si>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</si>
  <si>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</si>
  <si>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</si>
  <si>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</si>
  <si>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Wilson</t>
  </si>
  <si>
    <t>Winkler</t>
  </si>
  <si>
    <t>Wise</t>
  </si>
  <si>
    <t>Wood</t>
  </si>
  <si>
    <t>Young</t>
  </si>
  <si>
    <t>Zapata</t>
  </si>
  <si>
    <t>Zavala</t>
  </si>
  <si>
    <t>Weighted exemption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</si>
</sst>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center" textRotation="90"/>
    </xf>
    <xf numFmtId="164" fontId="3" fillId="0" borderId="0" xfId="1" applyNumberFormat="1" applyFont="1" applyAlignment="1">
      <alignment vertical="center"/>
    </xf>
    <xf numFmtId="0" fontId="1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25F7CA8-B464-456A-887C-161965CB8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nin\Downloads\Oden\Oden-github\Measles%20Model\Datasets%20Used\county_size_N.xlsx" TargetMode="External"/><Relationship Id="rId1" Type="http://schemas.openxmlformats.org/officeDocument/2006/relationships/externalLinkPath" Target="county_size_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tats"/>
    </sheetNames>
    <sheetDataSet>
      <sheetData sheetId="0">
        <row r="2">
          <cell r="B2">
            <v>18923</v>
          </cell>
        </row>
        <row r="3">
          <cell r="B3">
            <v>52783</v>
          </cell>
        </row>
        <row r="4">
          <cell r="B4">
            <v>7031</v>
          </cell>
        </row>
        <row r="5">
          <cell r="B5">
            <v>399578</v>
          </cell>
        </row>
        <row r="6">
          <cell r="B6">
            <v>2127737</v>
          </cell>
        </row>
        <row r="7">
          <cell r="B7">
            <v>557</v>
          </cell>
        </row>
        <row r="8">
          <cell r="B8">
            <v>413224</v>
          </cell>
        </row>
        <row r="9">
          <cell r="B9">
            <v>9508</v>
          </cell>
        </row>
        <row r="10">
          <cell r="B10">
            <v>38631</v>
          </cell>
        </row>
        <row r="11">
          <cell r="B11">
            <v>5822</v>
          </cell>
        </row>
        <row r="12">
          <cell r="B12">
            <v>2583</v>
          </cell>
        </row>
        <row r="13">
          <cell r="B13">
            <v>1254658</v>
          </cell>
        </row>
        <row r="14">
          <cell r="B14">
            <v>7526</v>
          </cell>
        </row>
        <row r="15">
          <cell r="B15">
            <v>2656028</v>
          </cell>
        </row>
        <row r="16">
          <cell r="B16">
            <v>11758</v>
          </cell>
        </row>
        <row r="17">
          <cell r="B17">
            <v>1045120</v>
          </cell>
        </row>
        <row r="18">
          <cell r="B18">
            <v>18290</v>
          </cell>
        </row>
        <row r="19">
          <cell r="B19">
            <v>170022</v>
          </cell>
        </row>
        <row r="20">
          <cell r="B20">
            <v>875784</v>
          </cell>
        </row>
        <row r="21">
          <cell r="B21">
            <v>44496</v>
          </cell>
        </row>
        <row r="22">
          <cell r="B22">
            <v>38650</v>
          </cell>
        </row>
        <row r="23">
          <cell r="B23">
            <v>958434</v>
          </cell>
        </row>
        <row r="24">
          <cell r="B24">
            <v>22892</v>
          </cell>
        </row>
        <row r="25">
          <cell r="B25">
            <v>4645</v>
          </cell>
        </row>
        <row r="26">
          <cell r="B26">
            <v>31953</v>
          </cell>
        </row>
        <row r="27">
          <cell r="B27">
            <v>3417</v>
          </cell>
        </row>
        <row r="28">
          <cell r="B28">
            <v>5009302</v>
          </cell>
        </row>
        <row r="29">
          <cell r="B29">
            <v>71370</v>
          </cell>
        </row>
        <row r="30">
          <cell r="B30">
            <v>292029</v>
          </cell>
        </row>
        <row r="31">
          <cell r="B31">
            <v>21505</v>
          </cell>
        </row>
        <row r="32">
          <cell r="B32">
            <v>51249</v>
          </cell>
        </row>
        <row r="33">
          <cell r="B33">
            <v>12687</v>
          </cell>
        </row>
        <row r="34">
          <cell r="B34">
            <v>327394</v>
          </cell>
        </row>
        <row r="35">
          <cell r="B35">
            <v>5952</v>
          </cell>
        </row>
        <row r="36">
          <cell r="B36">
            <v>5179</v>
          </cell>
        </row>
        <row r="37">
          <cell r="B37">
            <v>270358</v>
          </cell>
        </row>
        <row r="38">
          <cell r="B38">
            <v>183587</v>
          </cell>
        </row>
        <row r="39">
          <cell r="B39">
            <v>9669</v>
          </cell>
        </row>
        <row r="40">
          <cell r="B40">
            <v>114649</v>
          </cell>
        </row>
        <row r="41">
          <cell r="B41">
            <v>150547</v>
          </cell>
        </row>
        <row r="42">
          <cell r="B42">
            <v>11956</v>
          </cell>
        </row>
        <row r="43">
          <cell r="B43">
            <v>137044</v>
          </cell>
        </row>
        <row r="44">
          <cell r="B44">
            <v>16211</v>
          </cell>
        </row>
        <row r="45">
          <cell r="B45">
            <v>3169</v>
          </cell>
        </row>
        <row r="46">
          <cell r="B46">
            <v>2230708</v>
          </cell>
        </row>
        <row r="47">
          <cell r="B47">
            <v>11602</v>
          </cell>
        </row>
        <row r="48">
          <cell r="B48">
            <v>1363767</v>
          </cell>
        </row>
        <row r="49">
          <cell r="B49">
            <v>44050</v>
          </cell>
        </row>
        <row r="50">
          <cell r="B50">
            <v>727480</v>
          </cell>
        </row>
        <row r="51">
          <cell r="B51">
            <v>7581</v>
          </cell>
        </row>
        <row r="52">
          <cell r="B52">
            <v>31290831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7" workbookViewId="0">
      <selection activeCell="D50" sqref="D50"/>
    </sheetView>
  </sheetViews>
  <sheetFormatPr defaultRowHeight="14.5" x14ac:dyDescent="0.35"/>
  <cols>
    <col min="2" max="2" width="15.81640625" customWidth="1"/>
  </cols>
  <sheetData>
    <row r="1" spans="1:2" x14ac:dyDescent="0.35">
      <c r="A1" t="s">
        <v>0</v>
      </c>
      <c r="B1" t="s">
        <v>51</v>
      </c>
    </row>
    <row r="2" spans="1:2" x14ac:dyDescent="0.35">
      <c r="A2" t="s">
        <v>1</v>
      </c>
      <c r="B2">
        <f>VLOOKUP(A2,Sheet2!B2:M256,12,FALSE)</f>
        <v>1.9867549668874173E-2</v>
      </c>
    </row>
    <row r="3" spans="1:2" x14ac:dyDescent="0.35">
      <c r="A3" t="s">
        <v>2</v>
      </c>
      <c r="B3">
        <f>VLOOKUP(A3,Sheet2!B3:M257,12,FALSE)</f>
        <v>9.9337748344370865E-3</v>
      </c>
    </row>
    <row r="4" spans="1:2" x14ac:dyDescent="0.35">
      <c r="A4" t="s">
        <v>3</v>
      </c>
      <c r="B4">
        <f>VLOOKUP(A4,Sheet2!B4:M258,12,FALSE)</f>
        <v>0</v>
      </c>
    </row>
    <row r="5" spans="1:2" x14ac:dyDescent="0.35">
      <c r="A5" t="s">
        <v>4</v>
      </c>
      <c r="B5">
        <f>VLOOKUP(A5,Sheet2!B5:M259,12,FALSE)</f>
        <v>3.7217545414266723E-2</v>
      </c>
    </row>
    <row r="6" spans="1:2" x14ac:dyDescent="0.35">
      <c r="A6" t="s">
        <v>5</v>
      </c>
      <c r="B6">
        <f>VLOOKUP(A6,Sheet2!B6:M260,12,FALSE)</f>
        <v>2.8058405682715074E-2</v>
      </c>
    </row>
    <row r="7" spans="1:2" x14ac:dyDescent="0.35">
      <c r="A7" t="s">
        <v>6</v>
      </c>
      <c r="B7">
        <f>VLOOKUP(A7,Sheet2!B7:M261,12,FALSE)</f>
        <v>5.5555555555555552E-2</v>
      </c>
    </row>
    <row r="8" spans="1:2" x14ac:dyDescent="0.35">
      <c r="A8" t="s">
        <v>7</v>
      </c>
      <c r="B8">
        <f>VLOOKUP(A8,Sheet2!B8:M262,12,FALSE)</f>
        <v>3.2297379646556976E-2</v>
      </c>
    </row>
    <row r="9" spans="1:2" x14ac:dyDescent="0.35">
      <c r="A9" t="s">
        <v>8</v>
      </c>
      <c r="B9">
        <f>VLOOKUP(A9,Sheet2!B9:M263,12,FALSE)</f>
        <v>2.6315789473684209E-2</v>
      </c>
    </row>
    <row r="10" spans="1:2" x14ac:dyDescent="0.35">
      <c r="A10" t="s">
        <v>9</v>
      </c>
      <c r="B10">
        <f>VLOOKUP(A10,Sheet2!B10:M264,12,FALSE)</f>
        <v>6.363636363636363E-2</v>
      </c>
    </row>
    <row r="11" spans="1:2" x14ac:dyDescent="0.35">
      <c r="A11" t="s">
        <v>10</v>
      </c>
      <c r="B11">
        <f>VLOOKUP(A11,Sheet2!B11:M265,12,FALSE)</f>
        <v>8.3333333333333329E-2</v>
      </c>
    </row>
    <row r="12" spans="1:2" x14ac:dyDescent="0.35">
      <c r="A12" t="s">
        <v>11</v>
      </c>
      <c r="B12">
        <f>VLOOKUP(A12,Sheet2!B12:M266,12,FALSE)</f>
        <v>4.7619047619047616E-2</v>
      </c>
    </row>
    <row r="13" spans="1:2" x14ac:dyDescent="0.35">
      <c r="A13" t="s">
        <v>12</v>
      </c>
      <c r="B13">
        <f>VLOOKUP(A13,Sheet2!B13:M267,12,FALSE)</f>
        <v>5.8071206360179747E-2</v>
      </c>
    </row>
    <row r="14" spans="1:2" x14ac:dyDescent="0.35">
      <c r="A14" t="s">
        <v>13</v>
      </c>
      <c r="B14">
        <f>VLOOKUP(A14,Sheet2!B14:M268,12,FALSE)</f>
        <v>4.142011834319527E-2</v>
      </c>
    </row>
    <row r="15" spans="1:2" x14ac:dyDescent="0.35">
      <c r="A15" t="s">
        <v>14</v>
      </c>
      <c r="B15">
        <f>VLOOKUP(A15,Sheet2!B15:M269,12,FALSE)</f>
        <v>2.6160683329656129E-2</v>
      </c>
    </row>
    <row r="16" spans="1:2" x14ac:dyDescent="0.35">
      <c r="A16" t="s">
        <v>15</v>
      </c>
      <c r="B16">
        <f>VLOOKUP(A16,Sheet2!B16:M270,12,FALSE)</f>
        <v>0.10596026490066225</v>
      </c>
    </row>
    <row r="17" spans="1:2" x14ac:dyDescent="0.35">
      <c r="A17" t="s">
        <v>16</v>
      </c>
      <c r="B17">
        <f>VLOOKUP(A17,Sheet2!B17:M271,12,FALSE)</f>
        <v>6.9126378286683623E-2</v>
      </c>
    </row>
    <row r="18" spans="1:2" x14ac:dyDescent="0.35">
      <c r="A18" t="s">
        <v>17</v>
      </c>
      <c r="B18">
        <f>VLOOKUP(A18,Sheet2!B18:M272,12,FALSE)</f>
        <v>3.2786885245901641E-2</v>
      </c>
    </row>
    <row r="19" spans="1:2" x14ac:dyDescent="0.35">
      <c r="A19" t="s">
        <v>18</v>
      </c>
      <c r="B19">
        <f>VLOOKUP(A19,Sheet2!B19:M273,12,FALSE)</f>
        <v>2.1803399852180341E-2</v>
      </c>
    </row>
    <row r="20" spans="1:2" x14ac:dyDescent="0.35">
      <c r="A20" t="s">
        <v>19</v>
      </c>
      <c r="B20">
        <f>VLOOKUP(A20,Sheet2!B20:M274,12,FALSE)</f>
        <v>1.3764274061990212E-2</v>
      </c>
    </row>
    <row r="21" spans="1:2" x14ac:dyDescent="0.35">
      <c r="A21" t="s">
        <v>20</v>
      </c>
      <c r="B21">
        <f>VLOOKUP(A21,Sheet2!B21:M275,12,FALSE)</f>
        <v>5.627705627705628E-2</v>
      </c>
    </row>
    <row r="22" spans="1:2" x14ac:dyDescent="0.35">
      <c r="A22" t="s">
        <v>21</v>
      </c>
      <c r="B22">
        <f>VLOOKUP(A22,Sheet2!B22:M276,12,FALSE)</f>
        <v>5.0531914893617018E-2</v>
      </c>
    </row>
    <row r="23" spans="1:2" x14ac:dyDescent="0.35">
      <c r="A23" t="s">
        <v>22</v>
      </c>
      <c r="B23">
        <f>VLOOKUP(A23,Sheet2!B23:M277,12,FALSE)</f>
        <v>1.8199704869650762E-2</v>
      </c>
    </row>
    <row r="24" spans="1:2" x14ac:dyDescent="0.35">
      <c r="A24" s="5" t="s">
        <v>23</v>
      </c>
      <c r="B24" s="5">
        <f>VLOOKUP(A24,Sheet2!B24:M278,12,FALSE)</f>
        <v>0.17622950819672131</v>
      </c>
    </row>
    <row r="25" spans="1:2" x14ac:dyDescent="0.35">
      <c r="A25" t="s">
        <v>24</v>
      </c>
      <c r="B25">
        <f>VLOOKUP(A25,Sheet2!B25:M279,12,FALSE)</f>
        <v>2.8571428571428571E-2</v>
      </c>
    </row>
    <row r="26" spans="1:2" x14ac:dyDescent="0.35">
      <c r="A26" t="s">
        <v>25</v>
      </c>
      <c r="B26">
        <f>VLOOKUP(A26,Sheet2!B26:M280,12,FALSE)</f>
        <v>1.3927576601671309E-2</v>
      </c>
    </row>
    <row r="27" spans="1:2" x14ac:dyDescent="0.35">
      <c r="A27" t="s">
        <v>26</v>
      </c>
      <c r="B27">
        <f>VLOOKUP(A27,Sheet2!B27:M281,12,FALSE)</f>
        <v>0</v>
      </c>
    </row>
    <row r="28" spans="1:2" x14ac:dyDescent="0.35">
      <c r="A28" t="s">
        <v>27</v>
      </c>
      <c r="B28">
        <f>VLOOKUP(A28,Sheet2!B28:M282,12,FALSE)</f>
        <v>2.9185173538775991E-2</v>
      </c>
    </row>
    <row r="29" spans="1:2" x14ac:dyDescent="0.35">
      <c r="A29" t="s">
        <v>28</v>
      </c>
      <c r="B29">
        <f>VLOOKUP(A29,Sheet2!B29:M283,12,FALSE)</f>
        <v>5.6097560975609757E-2</v>
      </c>
    </row>
    <row r="30" spans="1:2" x14ac:dyDescent="0.35">
      <c r="A30" t="s">
        <v>29</v>
      </c>
      <c r="B30">
        <f>VLOOKUP(A30,Sheet2!B30:M284,12,FALSE)</f>
        <v>4.0888602704443014E-2</v>
      </c>
    </row>
    <row r="31" spans="1:2" x14ac:dyDescent="0.35">
      <c r="A31" t="s">
        <v>30</v>
      </c>
      <c r="B31">
        <f>VLOOKUP(A31,Sheet2!B31:M285,12,FALSE)</f>
        <v>5.6105610561056105E-2</v>
      </c>
    </row>
    <row r="32" spans="1:2" x14ac:dyDescent="0.35">
      <c r="A32" t="s">
        <v>31</v>
      </c>
      <c r="B32">
        <f>VLOOKUP(A32,Sheet2!B32:M286,12,FALSE)</f>
        <v>3.1645569620253167E-2</v>
      </c>
    </row>
    <row r="33" spans="1:2" x14ac:dyDescent="0.35">
      <c r="A33" t="s">
        <v>32</v>
      </c>
      <c r="B33">
        <f>VLOOKUP(A33,Sheet2!B33:M287,12,FALSE)</f>
        <v>1.9736842105263157E-2</v>
      </c>
    </row>
    <row r="34" spans="1:2" x14ac:dyDescent="0.35">
      <c r="A34" t="s">
        <v>33</v>
      </c>
      <c r="B34">
        <f>VLOOKUP(A34,Sheet2!B34:M288,12,FALSE)</f>
        <v>3.4722222222222224E-2</v>
      </c>
    </row>
    <row r="35" spans="1:2" x14ac:dyDescent="0.35">
      <c r="A35" t="s">
        <v>34</v>
      </c>
      <c r="B35">
        <f>VLOOKUP(A35,Sheet2!B35:M289,12,FALSE)</f>
        <v>8.8235294117647065E-2</v>
      </c>
    </row>
    <row r="36" spans="1:2" x14ac:dyDescent="0.35">
      <c r="A36" t="s">
        <v>35</v>
      </c>
      <c r="B36">
        <f>VLOOKUP(A36,Sheet2!B36:M290,12,FALSE)</f>
        <v>3.4090909090909088E-2</v>
      </c>
    </row>
    <row r="37" spans="1:2" x14ac:dyDescent="0.35">
      <c r="A37" t="s">
        <v>36</v>
      </c>
      <c r="B37">
        <f>VLOOKUP(A37,Sheet2!B37:M291,12,FALSE)</f>
        <v>3.446528129751647E-2</v>
      </c>
    </row>
    <row r="38" spans="1:2" x14ac:dyDescent="0.35">
      <c r="A38" t="s">
        <v>37</v>
      </c>
      <c r="B38">
        <f>VLOOKUP(A38,Sheet2!B38:M292,12,FALSE)</f>
        <v>3.7757009345794394E-2</v>
      </c>
    </row>
    <row r="39" spans="1:2" x14ac:dyDescent="0.35">
      <c r="A39" t="s">
        <v>38</v>
      </c>
      <c r="B39">
        <f>VLOOKUP(A39,Sheet2!B39:M293,12,FALSE)</f>
        <v>3.5460992907801421E-2</v>
      </c>
    </row>
    <row r="40" spans="1:2" x14ac:dyDescent="0.35">
      <c r="A40" t="s">
        <v>39</v>
      </c>
      <c r="B40">
        <f>VLOOKUP(A40,Sheet2!B40:M294,12,FALSE)</f>
        <v>3.3318909562959756E-2</v>
      </c>
    </row>
    <row r="41" spans="1:2" x14ac:dyDescent="0.35">
      <c r="A41" t="s">
        <v>40</v>
      </c>
      <c r="B41">
        <f>VLOOKUP(A41,Sheet2!B41:M295,12,FALSE)</f>
        <v>6.0526315789473685E-2</v>
      </c>
    </row>
    <row r="42" spans="1:2" x14ac:dyDescent="0.35">
      <c r="A42" t="s">
        <v>41</v>
      </c>
      <c r="B42">
        <f>VLOOKUP(A42,Sheet2!B42:M296,12,FALSE)</f>
        <v>2.5380710659898477E-2</v>
      </c>
    </row>
    <row r="43" spans="1:2" x14ac:dyDescent="0.35">
      <c r="A43" t="s">
        <v>42</v>
      </c>
      <c r="B43">
        <f>VLOOKUP(A43,Sheet2!B43:M297,12,FALSE)</f>
        <v>8.2170542635658914E-2</v>
      </c>
    </row>
    <row r="44" spans="1:2" x14ac:dyDescent="0.35">
      <c r="A44" t="s">
        <v>43</v>
      </c>
      <c r="B44">
        <f>VLOOKUP(A44,Sheet2!B44:M298,12,FALSE)</f>
        <v>1.6574585635359115E-2</v>
      </c>
    </row>
    <row r="45" spans="1:2" x14ac:dyDescent="0.35">
      <c r="A45" t="s">
        <v>44</v>
      </c>
      <c r="B45">
        <f>VLOOKUP(A45,Sheet2!B45:M299,12,FALSE)</f>
        <v>0.16666666666666666</v>
      </c>
    </row>
    <row r="46" spans="1:2" x14ac:dyDescent="0.35">
      <c r="A46" t="s">
        <v>45</v>
      </c>
      <c r="B46">
        <f>VLOOKUP(A46,Sheet2!B46:M300,12,FALSE)</f>
        <v>4.3509238588324707E-2</v>
      </c>
    </row>
    <row r="47" spans="1:2" x14ac:dyDescent="0.35">
      <c r="A47" t="s">
        <v>46</v>
      </c>
      <c r="B47">
        <f>VLOOKUP(A47,Sheet2!B47:M301,12,FALSE)</f>
        <v>3.7313432835820892E-2</v>
      </c>
    </row>
    <row r="48" spans="1:2" x14ac:dyDescent="0.35">
      <c r="A48" t="s">
        <v>47</v>
      </c>
      <c r="B48">
        <f>VLOOKUP(A48,Sheet2!B48:M302,12,FALSE)</f>
        <v>3.0047181524708221E-2</v>
      </c>
    </row>
    <row r="49" spans="1:2" x14ac:dyDescent="0.35">
      <c r="A49" t="s">
        <v>48</v>
      </c>
      <c r="B49">
        <f>VLOOKUP(A49,Sheet2!B49:M303,12,FALSE)</f>
        <v>6.6964285714285712E-2</v>
      </c>
    </row>
    <row r="50" spans="1:2" x14ac:dyDescent="0.35">
      <c r="A50" t="s">
        <v>49</v>
      </c>
      <c r="B50">
        <f>VLOOKUP(A50,Sheet2!B50:M304,12,FALSE)</f>
        <v>4.4959443800695248E-2</v>
      </c>
    </row>
    <row r="51" spans="1:2" x14ac:dyDescent="0.35">
      <c r="A51" t="s">
        <v>50</v>
      </c>
      <c r="B51">
        <f>VLOOKUP(A51,Sheet2!B51:M305,12,FALSE)</f>
        <v>5.8333333333333334E-2</v>
      </c>
    </row>
    <row r="52" spans="1:2" x14ac:dyDescent="0.35">
      <c r="A52" t="s">
        <v>63</v>
      </c>
      <c r="B52">
        <v>2.3806573819859345E-2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BED0-7CD5-4D5A-8F76-1F1D6F60F3F4}">
  <dimension ref="A1:C52"/>
  <sheetViews>
    <sheetView topLeftCell="A38" workbookViewId="0">
      <selection activeCell="C52" sqref="C52"/>
    </sheetView>
  </sheetViews>
  <sheetFormatPr defaultRowHeight="14.5" x14ac:dyDescent="0.35"/>
  <cols>
    <col min="2" max="2" width="15.81640625" customWidth="1"/>
    <col min="3" max="3" width="22.26953125" bestFit="1" customWidth="1"/>
  </cols>
  <sheetData>
    <row r="1" spans="1:3" x14ac:dyDescent="0.35">
      <c r="A1" t="s">
        <v>0</v>
      </c>
      <c r="B1" t="s">
        <v>51</v>
      </c>
      <c r="C1" t="s">
        <v>269</v>
      </c>
    </row>
    <row r="2" spans="1:3" x14ac:dyDescent="0.35">
      <c r="A2" t="s">
        <v>1</v>
      </c>
      <c r="B2">
        <f>VLOOKUP(A2,Sheet2!B2:M256,12,FALSE)</f>
        <v>1.9867549668874173E-2</v>
      </c>
      <c r="C2">
        <f>B2*[1]Sheet1!$B2/[1]Sheet1!$B$52</f>
        <v>1.2014818091092115E-5</v>
      </c>
    </row>
    <row r="3" spans="1:3" x14ac:dyDescent="0.35">
      <c r="A3" t="s">
        <v>2</v>
      </c>
      <c r="B3">
        <f>VLOOKUP(A3,Sheet2!B3:M257,12,FALSE)</f>
        <v>9.9337748344370865E-3</v>
      </c>
      <c r="C3">
        <f>B3*[1]Sheet1!$B3/[1]Sheet1!$B$52</f>
        <v>1.6756807675900099E-5</v>
      </c>
    </row>
    <row r="4" spans="1:3" x14ac:dyDescent="0.35">
      <c r="A4" t="s">
        <v>3</v>
      </c>
      <c r="B4">
        <f>VLOOKUP(A4,Sheet2!B4:M258,12,FALSE)</f>
        <v>0</v>
      </c>
      <c r="C4">
        <f>B4*[1]Sheet1!$B4/[1]Sheet1!$B$52</f>
        <v>0</v>
      </c>
    </row>
    <row r="5" spans="1:3" x14ac:dyDescent="0.35">
      <c r="A5" t="s">
        <v>4</v>
      </c>
      <c r="B5">
        <f>VLOOKUP(A5,Sheet2!B5:M259,12,FALSE)</f>
        <v>3.7217545414266723E-2</v>
      </c>
      <c r="C5">
        <f>B5*[1]Sheet1!$B5/[1]Sheet1!$B$52</f>
        <v>4.752610233183602E-4</v>
      </c>
    </row>
    <row r="6" spans="1:3" x14ac:dyDescent="0.35">
      <c r="A6" t="s">
        <v>5</v>
      </c>
      <c r="B6">
        <f>VLOOKUP(A6,Sheet2!B6:M260,12,FALSE)</f>
        <v>2.8058405682715074E-2</v>
      </c>
      <c r="C6">
        <f>B6*[1]Sheet1!$B6/[1]Sheet1!$B$52</f>
        <v>1.9079361597051584E-3</v>
      </c>
    </row>
    <row r="7" spans="1:3" x14ac:dyDescent="0.35">
      <c r="A7" t="s">
        <v>6</v>
      </c>
      <c r="B7">
        <f>VLOOKUP(A7,Sheet2!B7:M261,12,FALSE)</f>
        <v>5.5555555555555552E-2</v>
      </c>
      <c r="C7">
        <f>B7*[1]Sheet1!$B7/[1]Sheet1!$B$52</f>
        <v>9.889300940727475E-7</v>
      </c>
    </row>
    <row r="8" spans="1:3" x14ac:dyDescent="0.35">
      <c r="A8" t="s">
        <v>7</v>
      </c>
      <c r="B8">
        <f>VLOOKUP(A8,Sheet2!B8:M262,12,FALSE)</f>
        <v>3.2297379646556976E-2</v>
      </c>
      <c r="C8">
        <f>B8*[1]Sheet1!$B8/[1]Sheet1!$B$52</f>
        <v>4.2651639411778034E-4</v>
      </c>
    </row>
    <row r="9" spans="1:3" x14ac:dyDescent="0.35">
      <c r="A9" t="s">
        <v>8</v>
      </c>
      <c r="B9">
        <f>VLOOKUP(A9,Sheet2!B9:M263,12,FALSE)</f>
        <v>2.6315789473684209E-2</v>
      </c>
      <c r="C9">
        <f>B9*[1]Sheet1!$B9/[1]Sheet1!$B$52</f>
        <v>7.9962889549270661E-6</v>
      </c>
    </row>
    <row r="10" spans="1:3" x14ac:dyDescent="0.35">
      <c r="A10" t="s">
        <v>9</v>
      </c>
      <c r="B10">
        <f>VLOOKUP(A10,Sheet2!B10:M264,12,FALSE)</f>
        <v>6.363636363636363E-2</v>
      </c>
      <c r="C10">
        <f>B10*[1]Sheet1!$B10/[1]Sheet1!$B$52</f>
        <v>7.8564112395620414E-5</v>
      </c>
    </row>
    <row r="11" spans="1:3" x14ac:dyDescent="0.35">
      <c r="A11" t="s">
        <v>10</v>
      </c>
      <c r="B11">
        <f>VLOOKUP(A11,Sheet2!B11:M265,12,FALSE)</f>
        <v>8.3333333333333329E-2</v>
      </c>
      <c r="C11">
        <f>B11*[1]Sheet1!$B11/[1]Sheet1!$B$52</f>
        <v>1.5505074526996955E-5</v>
      </c>
    </row>
    <row r="12" spans="1:3" x14ac:dyDescent="0.35">
      <c r="A12" t="s">
        <v>11</v>
      </c>
      <c r="B12">
        <f>VLOOKUP(A12,Sheet2!B12:M266,12,FALSE)</f>
        <v>4.7619047619047616E-2</v>
      </c>
      <c r="C12">
        <f>B12*[1]Sheet1!$B12/[1]Sheet1!$B$52</f>
        <v>3.9308639645907776E-6</v>
      </c>
    </row>
    <row r="13" spans="1:3" x14ac:dyDescent="0.35">
      <c r="A13" t="s">
        <v>12</v>
      </c>
      <c r="B13">
        <f>VLOOKUP(A13,Sheet2!B13:M267,12,FALSE)</f>
        <v>5.8071206360179747E-2</v>
      </c>
      <c r="C13">
        <f>B13*[1]Sheet1!$B13/[1]Sheet1!$B$52</f>
        <v>2.3284617666258335E-3</v>
      </c>
    </row>
    <row r="14" spans="1:3" x14ac:dyDescent="0.35">
      <c r="A14" t="s">
        <v>13</v>
      </c>
      <c r="B14">
        <f>VLOOKUP(A14,Sheet2!B14:M268,12,FALSE)</f>
        <v>4.142011834319527E-2</v>
      </c>
      <c r="C14">
        <f>B14*[1]Sheet1!$B14/[1]Sheet1!$B$52</f>
        <v>9.9622733142142365E-6</v>
      </c>
    </row>
    <row r="15" spans="1:3" x14ac:dyDescent="0.35">
      <c r="A15" t="s">
        <v>14</v>
      </c>
      <c r="B15">
        <f>VLOOKUP(A15,Sheet2!B15:M269,12,FALSE)</f>
        <v>2.6160683329656129E-2</v>
      </c>
      <c r="C15">
        <f>B15*[1]Sheet1!$B15/[1]Sheet1!$B$52</f>
        <v>2.2205708574086738E-3</v>
      </c>
    </row>
    <row r="16" spans="1:3" x14ac:dyDescent="0.35">
      <c r="A16" t="s">
        <v>15</v>
      </c>
      <c r="B16">
        <f>VLOOKUP(A16,Sheet2!B16:M270,12,FALSE)</f>
        <v>0.10596026490066225</v>
      </c>
      <c r="C16">
        <f>B16*[1]Sheet1!$B16/[1]Sheet1!$B$52</f>
        <v>3.9816161951786671E-5</v>
      </c>
    </row>
    <row r="17" spans="1:3" x14ac:dyDescent="0.35">
      <c r="A17" t="s">
        <v>16</v>
      </c>
      <c r="B17">
        <f>VLOOKUP(A17,Sheet2!B17:M271,12,FALSE)</f>
        <v>6.9126378286683623E-2</v>
      </c>
      <c r="C17">
        <f>B17*[1]Sheet1!$B17/[1]Sheet1!$B$52</f>
        <v>2.3088348300810161E-3</v>
      </c>
    </row>
    <row r="18" spans="1:3" x14ac:dyDescent="0.35">
      <c r="A18" t="s">
        <v>17</v>
      </c>
      <c r="B18">
        <f>VLOOKUP(A18,Sheet2!B18:M272,12,FALSE)</f>
        <v>3.2786885245901641E-2</v>
      </c>
      <c r="C18">
        <f>B18*[1]Sheet1!$B18/[1]Sheet1!$B$52</f>
        <v>1.9164468056074989E-5</v>
      </c>
    </row>
    <row r="19" spans="1:3" x14ac:dyDescent="0.35">
      <c r="A19" t="s">
        <v>18</v>
      </c>
      <c r="B19">
        <f>VLOOKUP(A19,Sheet2!B19:M273,12,FALSE)</f>
        <v>2.1803399852180341E-2</v>
      </c>
      <c r="C19">
        <f>B19*[1]Sheet1!$B19/[1]Sheet1!$B$52</f>
        <v>1.1847105146128609E-4</v>
      </c>
    </row>
    <row r="20" spans="1:3" x14ac:dyDescent="0.35">
      <c r="A20" t="s">
        <v>19</v>
      </c>
      <c r="B20">
        <f>VLOOKUP(A20,Sheet2!B20:M274,12,FALSE)</f>
        <v>1.3764274061990212E-2</v>
      </c>
      <c r="C20">
        <f>B20*[1]Sheet1!$B20/[1]Sheet1!$B$52</f>
        <v>3.8524163820085298E-4</v>
      </c>
    </row>
    <row r="21" spans="1:3" x14ac:dyDescent="0.35">
      <c r="A21" t="s">
        <v>20</v>
      </c>
      <c r="B21">
        <f>VLOOKUP(A21,Sheet2!B21:M275,12,FALSE)</f>
        <v>5.627705627705628E-2</v>
      </c>
      <c r="C21">
        <f>B21*[1]Sheet1!$B21/[1]Sheet1!$B$52</f>
        <v>8.0026762347855073E-5</v>
      </c>
    </row>
    <row r="22" spans="1:3" x14ac:dyDescent="0.35">
      <c r="A22" t="s">
        <v>21</v>
      </c>
      <c r="B22">
        <f>VLOOKUP(A22,Sheet2!B22:M276,12,FALSE)</f>
        <v>5.0531914893617018E-2</v>
      </c>
      <c r="C22">
        <f>B22*[1]Sheet1!$B22/[1]Sheet1!$B$52</f>
        <v>6.241631967646681E-5</v>
      </c>
    </row>
    <row r="23" spans="1:3" x14ac:dyDescent="0.35">
      <c r="A23" t="s">
        <v>22</v>
      </c>
      <c r="B23">
        <f>VLOOKUP(A23,Sheet2!B23:M277,12,FALSE)</f>
        <v>1.8199704869650762E-2</v>
      </c>
      <c r="C23">
        <f>B23*[1]Sheet1!$B23/[1]Sheet1!$B$52</f>
        <v>5.5745454433724876E-4</v>
      </c>
    </row>
    <row r="24" spans="1:3" x14ac:dyDescent="0.35">
      <c r="A24" s="5" t="s">
        <v>23</v>
      </c>
      <c r="B24" s="5">
        <f>VLOOKUP(A24,Sheet2!B24:M278,12,FALSE)</f>
        <v>0.17622950819672131</v>
      </c>
      <c r="C24">
        <f>B24*[1]Sheet1!$B24/[1]Sheet1!$B$52</f>
        <v>1.2892741332562704E-4</v>
      </c>
    </row>
    <row r="25" spans="1:3" x14ac:dyDescent="0.35">
      <c r="A25" t="s">
        <v>24</v>
      </c>
      <c r="B25">
        <f>VLOOKUP(A25,Sheet2!B25:M279,12,FALSE)</f>
        <v>2.8571428571428571E-2</v>
      </c>
      <c r="C25">
        <f>B25*[1]Sheet1!$B25/[1]Sheet1!$B$52</f>
        <v>4.2413154739893523E-6</v>
      </c>
    </row>
    <row r="26" spans="1:3" x14ac:dyDescent="0.35">
      <c r="A26" t="s">
        <v>25</v>
      </c>
      <c r="B26">
        <f>VLOOKUP(A26,Sheet2!B26:M280,12,FALSE)</f>
        <v>1.3927576601671309E-2</v>
      </c>
      <c r="C26">
        <f>B26*[1]Sheet1!$B26/[1]Sheet1!$B$52</f>
        <v>1.4222308610250822E-5</v>
      </c>
    </row>
    <row r="27" spans="1:3" x14ac:dyDescent="0.35">
      <c r="A27" t="s">
        <v>26</v>
      </c>
      <c r="B27">
        <f>VLOOKUP(A27,Sheet2!B27:M281,12,FALSE)</f>
        <v>0</v>
      </c>
      <c r="C27">
        <f>B27*[1]Sheet1!$B27/[1]Sheet1!$B$52</f>
        <v>0</v>
      </c>
    </row>
    <row r="28" spans="1:3" x14ac:dyDescent="0.35">
      <c r="A28" t="s">
        <v>27</v>
      </c>
      <c r="B28">
        <f>VLOOKUP(A28,Sheet2!B28:M282,12,FALSE)</f>
        <v>2.9185173538775991E-2</v>
      </c>
      <c r="C28">
        <f>B28*[1]Sheet1!$B28/[1]Sheet1!$B$52</f>
        <v>4.6722104688794504E-3</v>
      </c>
    </row>
    <row r="29" spans="1:3" x14ac:dyDescent="0.35">
      <c r="A29" t="s">
        <v>28</v>
      </c>
      <c r="B29">
        <f>VLOOKUP(A29,Sheet2!B29:M283,12,FALSE)</f>
        <v>5.6097560975609757E-2</v>
      </c>
      <c r="C29">
        <f>B29*[1]Sheet1!$B29/[1]Sheet1!$B$52</f>
        <v>1.2795067433106104E-4</v>
      </c>
    </row>
    <row r="30" spans="1:3" x14ac:dyDescent="0.35">
      <c r="A30" t="s">
        <v>29</v>
      </c>
      <c r="B30">
        <f>VLOOKUP(A30,Sheet2!B30:M284,12,FALSE)</f>
        <v>4.0888602704443014E-2</v>
      </c>
      <c r="C30">
        <f>B30*[1]Sheet1!$B30/[1]Sheet1!$B$52</f>
        <v>3.8160244958581599E-4</v>
      </c>
    </row>
    <row r="31" spans="1:3" x14ac:dyDescent="0.35">
      <c r="A31" t="s">
        <v>30</v>
      </c>
      <c r="B31">
        <f>VLOOKUP(A31,Sheet2!B31:M285,12,FALSE)</f>
        <v>5.6105610561056105E-2</v>
      </c>
      <c r="C31">
        <f>B31*[1]Sheet1!$B31/[1]Sheet1!$B$52</f>
        <v>3.8559255748609283E-5</v>
      </c>
    </row>
    <row r="32" spans="1:3" x14ac:dyDescent="0.35">
      <c r="A32" t="s">
        <v>31</v>
      </c>
      <c r="B32">
        <f>VLOOKUP(A32,Sheet2!B32:M286,12,FALSE)</f>
        <v>3.1645569620253167E-2</v>
      </c>
      <c r="C32">
        <f>B32*[1]Sheet1!$B32/[1]Sheet1!$B$52</f>
        <v>5.1830000854510849E-5</v>
      </c>
    </row>
    <row r="33" spans="1:3" x14ac:dyDescent="0.35">
      <c r="A33" t="s">
        <v>32</v>
      </c>
      <c r="B33">
        <f>VLOOKUP(A33,Sheet2!B33:M287,12,FALSE)</f>
        <v>1.9736842105263157E-2</v>
      </c>
      <c r="C33">
        <f>B33*[1]Sheet1!$B33/[1]Sheet1!$B$52</f>
        <v>8.0023862514061599E-6</v>
      </c>
    </row>
    <row r="34" spans="1:3" x14ac:dyDescent="0.35">
      <c r="A34" t="s">
        <v>33</v>
      </c>
      <c r="B34">
        <f>VLOOKUP(A34,Sheet2!B34:M288,12,FALSE)</f>
        <v>3.4722222222222224E-2</v>
      </c>
      <c r="C34">
        <f>B34*[1]Sheet1!$B34/[1]Sheet1!$B$52</f>
        <v>3.6329643090086749E-4</v>
      </c>
    </row>
    <row r="35" spans="1:3" x14ac:dyDescent="0.35">
      <c r="A35" t="s">
        <v>34</v>
      </c>
      <c r="B35">
        <f>VLOOKUP(A35,Sheet2!B35:M289,12,FALSE)</f>
        <v>8.8235294117647065E-2</v>
      </c>
      <c r="C35">
        <f>B35*[1]Sheet1!$B35/[1]Sheet1!$B$52</f>
        <v>1.6783717587693193E-5</v>
      </c>
    </row>
    <row r="36" spans="1:3" x14ac:dyDescent="0.35">
      <c r="A36" t="s">
        <v>35</v>
      </c>
      <c r="B36">
        <f>VLOOKUP(A36,Sheet2!B36:M290,12,FALSE)</f>
        <v>3.4090909090909088E-2</v>
      </c>
      <c r="C36">
        <f>B36*[1]Sheet1!$B36/[1]Sheet1!$B$52</f>
        <v>5.6424458072659736E-6</v>
      </c>
    </row>
    <row r="37" spans="1:3" x14ac:dyDescent="0.35">
      <c r="A37" t="s">
        <v>36</v>
      </c>
      <c r="B37">
        <f>VLOOKUP(A37,Sheet2!B37:M291,12,FALSE)</f>
        <v>3.446528129751647E-2</v>
      </c>
      <c r="C37">
        <f>B37*[1]Sheet1!$B37/[1]Sheet1!$B$52</f>
        <v>2.9778578015502235E-4</v>
      </c>
    </row>
    <row r="38" spans="1:3" x14ac:dyDescent="0.35">
      <c r="A38" t="s">
        <v>37</v>
      </c>
      <c r="B38">
        <f>VLOOKUP(A38,Sheet2!B38:M292,12,FALSE)</f>
        <v>3.7757009345794394E-2</v>
      </c>
      <c r="C38">
        <f>B38*[1]Sheet1!$B38/[1]Sheet1!$B$52</f>
        <v>2.215248318194667E-4</v>
      </c>
    </row>
    <row r="39" spans="1:3" x14ac:dyDescent="0.35">
      <c r="A39" t="s">
        <v>38</v>
      </c>
      <c r="B39">
        <f>VLOOKUP(A39,Sheet2!B39:M293,12,FALSE)</f>
        <v>3.5460992907801421E-2</v>
      </c>
      <c r="C39">
        <f>B39*[1]Sheet1!$B39/[1]Sheet1!$B$52</f>
        <v>1.0957597784013213E-5</v>
      </c>
    </row>
    <row r="40" spans="1:3" x14ac:dyDescent="0.35">
      <c r="A40" t="s">
        <v>39</v>
      </c>
      <c r="B40">
        <f>VLOOKUP(A40,Sheet2!B40:M294,12,FALSE)</f>
        <v>3.3318909562959756E-2</v>
      </c>
      <c r="C40">
        <f>B40*[1]Sheet1!$B40/[1]Sheet1!$B$52</f>
        <v>1.2207984065631792E-4</v>
      </c>
    </row>
    <row r="41" spans="1:3" x14ac:dyDescent="0.35">
      <c r="A41" t="s">
        <v>40</v>
      </c>
      <c r="B41">
        <f>VLOOKUP(A41,Sheet2!B41:M295,12,FALSE)</f>
        <v>6.0526315789473685E-2</v>
      </c>
      <c r="C41">
        <f>B41*[1]Sheet1!$B41/[1]Sheet1!$B$52</f>
        <v>2.9120528192932608E-4</v>
      </c>
    </row>
    <row r="42" spans="1:3" x14ac:dyDescent="0.35">
      <c r="A42" t="s">
        <v>41</v>
      </c>
      <c r="B42">
        <f>VLOOKUP(A42,Sheet2!B42:M296,12,FALSE)</f>
        <v>2.5380710659898477E-2</v>
      </c>
      <c r="C42">
        <f>B42*[1]Sheet1!$B42/[1]Sheet1!$B$52</f>
        <v>9.6977858034433862E-6</v>
      </c>
    </row>
    <row r="43" spans="1:3" x14ac:dyDescent="0.35">
      <c r="A43" t="s">
        <v>42</v>
      </c>
      <c r="B43">
        <f>VLOOKUP(A43,Sheet2!B43:M297,12,FALSE)</f>
        <v>8.2170542635658914E-2</v>
      </c>
      <c r="C43">
        <f>B43*[1]Sheet1!$B43/[1]Sheet1!$B$52</f>
        <v>3.5988113722391202E-4</v>
      </c>
    </row>
    <row r="44" spans="1:3" x14ac:dyDescent="0.35">
      <c r="A44" t="s">
        <v>43</v>
      </c>
      <c r="B44">
        <f>VLOOKUP(A44,Sheet2!B44:M298,12,FALSE)</f>
        <v>1.6574585635359115E-2</v>
      </c>
      <c r="C44">
        <f>B44*[1]Sheet1!$B44/[1]Sheet1!$B$52</f>
        <v>8.5868798989329056E-6</v>
      </c>
    </row>
    <row r="45" spans="1:3" x14ac:dyDescent="0.35">
      <c r="A45" t="s">
        <v>44</v>
      </c>
      <c r="B45">
        <f>VLOOKUP(A45,Sheet2!B45:M299,12,FALSE)</f>
        <v>0.16666666666666666</v>
      </c>
      <c r="C45">
        <f>B45*[1]Sheet1!$B45/[1]Sheet1!$B$52</f>
        <v>1.6879279002422997E-5</v>
      </c>
    </row>
    <row r="46" spans="1:3" x14ac:dyDescent="0.35">
      <c r="A46" t="s">
        <v>45</v>
      </c>
      <c r="B46">
        <f>VLOOKUP(A46,Sheet2!B46:M300,12,FALSE)</f>
        <v>4.3509238588324707E-2</v>
      </c>
      <c r="C46">
        <f>B46*[1]Sheet1!$B46/[1]Sheet1!$B$52</f>
        <v>3.1017522862491131E-3</v>
      </c>
    </row>
    <row r="47" spans="1:3" x14ac:dyDescent="0.35">
      <c r="A47" t="s">
        <v>46</v>
      </c>
      <c r="B47">
        <f>VLOOKUP(A47,Sheet2!B47:M301,12,FALSE)</f>
        <v>3.7313432835820892E-2</v>
      </c>
      <c r="C47">
        <f>B47*[1]Sheet1!$B47/[1]Sheet1!$B$52</f>
        <v>1.3835057552840127E-5</v>
      </c>
    </row>
    <row r="48" spans="1:3" x14ac:dyDescent="0.35">
      <c r="A48" t="s">
        <v>47</v>
      </c>
      <c r="B48">
        <f>VLOOKUP(A48,Sheet2!B48:M302,12,FALSE)</f>
        <v>3.0047181524708221E-2</v>
      </c>
      <c r="C48">
        <f>B48*[1]Sheet1!$B48/[1]Sheet1!$B$52</f>
        <v>1.3095642811917253E-3</v>
      </c>
    </row>
    <row r="49" spans="1:3" x14ac:dyDescent="0.35">
      <c r="A49" t="s">
        <v>48</v>
      </c>
      <c r="B49">
        <f>VLOOKUP(A49,Sheet2!B49:M303,12,FALSE)</f>
        <v>6.6964285714285712E-2</v>
      </c>
      <c r="C49">
        <f>B49*[1]Sheet1!$B49/[1]Sheet1!$B$52</f>
        <v>9.4269685126428438E-5</v>
      </c>
    </row>
    <row r="50" spans="1:3" x14ac:dyDescent="0.35">
      <c r="A50" t="s">
        <v>49</v>
      </c>
      <c r="B50">
        <f>VLOOKUP(A50,Sheet2!B50:M304,12,FALSE)</f>
        <v>4.4959443800695248E-2</v>
      </c>
      <c r="C50">
        <f>B50*[1]Sheet1!$B50/[1]Sheet1!$B$52</f>
        <v>1.0452613475215721E-3</v>
      </c>
    </row>
    <row r="51" spans="1:3" x14ac:dyDescent="0.35">
      <c r="A51" t="s">
        <v>50</v>
      </c>
      <c r="B51">
        <f>VLOOKUP(A51,Sheet2!B51:M305,12,FALSE)</f>
        <v>5.8333333333333334E-2</v>
      </c>
      <c r="C51">
        <f>B51*[1]Sheet1!$B51/[1]Sheet1!$B$52</f>
        <v>1.4132734282448428E-5</v>
      </c>
    </row>
    <row r="52" spans="1:3" x14ac:dyDescent="0.35">
      <c r="A52" t="s">
        <v>63</v>
      </c>
      <c r="B52">
        <f>AVERAGE(B2:B51)</f>
        <v>4.5616417197798104E-2</v>
      </c>
      <c r="C52">
        <f>SUM(C2:C51)</f>
        <v>2.3806573819859345E-2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3276-3486-4F75-8E9D-50958DEEE002}">
  <dimension ref="A1:M256"/>
  <sheetViews>
    <sheetView workbookViewId="0">
      <selection activeCell="D15" sqref="D15"/>
    </sheetView>
  </sheetViews>
  <sheetFormatPr defaultRowHeight="14.5" x14ac:dyDescent="0.35"/>
  <sheetData>
    <row r="1" spans="1:13" ht="47.5" x14ac:dyDescent="0.35">
      <c r="A1" s="1"/>
      <c r="B1" s="1"/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</row>
    <row r="2" spans="1:13" x14ac:dyDescent="0.35">
      <c r="A2" s="2" t="s">
        <v>63</v>
      </c>
      <c r="B2" s="2" t="s">
        <v>63</v>
      </c>
      <c r="C2" s="4">
        <v>1.3455555891147422E-2</v>
      </c>
      <c r="D2" s="4">
        <v>1.2880717493281639E-2</v>
      </c>
      <c r="E2" s="4">
        <v>1.3457254032299464E-2</v>
      </c>
      <c r="F2" s="4">
        <v>1.5512146865588154E-2</v>
      </c>
      <c r="G2" s="4">
        <v>1.8047065731735382E-2</v>
      </c>
      <c r="H2" s="4">
        <v>2.1696384796015794E-2</v>
      </c>
      <c r="I2" s="4">
        <v>2.24E-2</v>
      </c>
      <c r="J2" s="4">
        <v>2.1399999999999999E-2</v>
      </c>
      <c r="K2" s="4">
        <v>2.64E-2</v>
      </c>
      <c r="L2" s="4">
        <v>3.2399999999999998E-2</v>
      </c>
      <c r="M2" s="4">
        <v>3.6299999999999999E-2</v>
      </c>
    </row>
    <row r="3" spans="1:13" x14ac:dyDescent="0.35">
      <c r="A3" s="6" t="s">
        <v>64</v>
      </c>
      <c r="B3" s="2" t="s">
        <v>65</v>
      </c>
      <c r="C3" s="4">
        <v>7.9617834394904458E-3</v>
      </c>
      <c r="D3" s="4">
        <v>5.8309037900874635E-3</v>
      </c>
      <c r="E3" s="4">
        <v>6.5359477124183009E-3</v>
      </c>
      <c r="F3" s="4">
        <v>1.5527950310559006E-2</v>
      </c>
      <c r="G3" s="4">
        <v>1.3651877133105802E-2</v>
      </c>
      <c r="H3" s="4">
        <v>2.1487603305785124E-2</v>
      </c>
      <c r="I3" s="4">
        <v>1.5410958904109588E-2</v>
      </c>
      <c r="J3" s="4">
        <v>2.469135802469136E-2</v>
      </c>
      <c r="K3" s="4">
        <v>3.2374100719424453E-2</v>
      </c>
      <c r="L3" s="4">
        <v>3.231597845601436E-2</v>
      </c>
      <c r="M3" s="4">
        <v>4.3087971274685818E-2</v>
      </c>
    </row>
    <row r="4" spans="1:13" x14ac:dyDescent="0.35">
      <c r="A4" s="6"/>
      <c r="B4" s="2" t="s">
        <v>1</v>
      </c>
      <c r="C4" s="4">
        <v>3.5087719298245615E-3</v>
      </c>
      <c r="D4" s="4">
        <v>8.9820359281437123E-3</v>
      </c>
      <c r="E4" s="4">
        <v>1.3513513513513514E-2</v>
      </c>
      <c r="F4" s="4">
        <v>9.74025974025974E-3</v>
      </c>
      <c r="G4" s="4">
        <v>1.2195121951219513E-2</v>
      </c>
      <c r="H4" s="4">
        <v>2.4793388429752067E-2</v>
      </c>
      <c r="I4" s="4">
        <v>9.5238095238095247E-3</v>
      </c>
      <c r="J4" s="4">
        <v>2.4767801857585151E-2</v>
      </c>
      <c r="K4" s="4">
        <v>0</v>
      </c>
      <c r="L4" s="4">
        <v>6.369426751592357E-3</v>
      </c>
      <c r="M4" s="4">
        <v>1.9867549668874173E-2</v>
      </c>
    </row>
    <row r="5" spans="1:13" x14ac:dyDescent="0.35">
      <c r="A5" s="6"/>
      <c r="B5" s="2" t="s">
        <v>66</v>
      </c>
      <c r="C5" s="4">
        <v>1.105379513633014E-2</v>
      </c>
      <c r="D5" s="4">
        <v>6.0744115413819289E-3</v>
      </c>
      <c r="E5" s="4">
        <v>1.6587677725118485E-2</v>
      </c>
      <c r="F5" s="4">
        <v>1.1764705882352941E-2</v>
      </c>
      <c r="G5" s="4">
        <v>1.5139442231075698E-2</v>
      </c>
      <c r="H5" s="4">
        <v>1.7213114754098362E-2</v>
      </c>
      <c r="I5" s="4">
        <v>1.8225039619651346E-2</v>
      </c>
      <c r="J5" s="4">
        <v>1.4787430683918667E-2</v>
      </c>
      <c r="K5" s="4">
        <v>2.3450586264656618E-2</v>
      </c>
      <c r="L5" s="4">
        <v>3.7885462555066078E-2</v>
      </c>
      <c r="M5" s="4">
        <v>5.1327433628318583E-2</v>
      </c>
    </row>
    <row r="6" spans="1:13" x14ac:dyDescent="0.35">
      <c r="A6" s="6"/>
      <c r="B6" s="2" t="s">
        <v>67</v>
      </c>
      <c r="C6" s="4">
        <v>2.2304832713754646E-2</v>
      </c>
      <c r="D6" s="4">
        <v>1.1111111111111112E-2</v>
      </c>
      <c r="E6" s="4">
        <v>1.4336917562724014E-2</v>
      </c>
      <c r="F6" s="4">
        <v>2.0833333333333332E-2</v>
      </c>
      <c r="G6" s="4">
        <v>1.1904761904761904E-2</v>
      </c>
      <c r="H6" s="4">
        <v>1.06951871657754E-2</v>
      </c>
      <c r="I6" s="4">
        <v>2.553191489361702E-2</v>
      </c>
      <c r="J6" s="4">
        <v>2.8735632183908049E-2</v>
      </c>
      <c r="K6" s="4">
        <v>0</v>
      </c>
      <c r="L6" s="4">
        <v>9.3023255813953487E-3</v>
      </c>
      <c r="M6" s="4">
        <v>2.3255813953488372E-2</v>
      </c>
    </row>
    <row r="7" spans="1:13" x14ac:dyDescent="0.35">
      <c r="A7" s="6"/>
      <c r="B7" s="2" t="s">
        <v>68</v>
      </c>
      <c r="C7" s="4">
        <v>8.130081300813009E-3</v>
      </c>
      <c r="D7" s="4">
        <v>2.2222222222222223E-2</v>
      </c>
      <c r="E7" s="4">
        <v>0</v>
      </c>
      <c r="F7" s="4">
        <v>0</v>
      </c>
      <c r="G7" s="4">
        <v>0</v>
      </c>
      <c r="H7" s="4">
        <v>1.5503875968992248E-2</v>
      </c>
      <c r="I7" s="4">
        <v>1.4084507042253521E-2</v>
      </c>
      <c r="J7" s="4">
        <v>6.4516129032258047E-3</v>
      </c>
      <c r="K7" s="4">
        <v>2.5316455696202528E-2</v>
      </c>
      <c r="L7" s="4">
        <v>5.7971014492753624E-2</v>
      </c>
      <c r="M7" s="4">
        <v>5.3846153846153849E-2</v>
      </c>
    </row>
    <row r="8" spans="1:13" x14ac:dyDescent="0.35">
      <c r="A8" s="6"/>
      <c r="B8" s="2" t="s">
        <v>69</v>
      </c>
      <c r="C8" s="4">
        <v>0</v>
      </c>
      <c r="D8" s="4">
        <v>3.7037037037037035E-2</v>
      </c>
      <c r="E8" s="4">
        <v>0</v>
      </c>
      <c r="F8" s="4">
        <v>4.1666666666666664E-2</v>
      </c>
      <c r="G8" s="4">
        <v>0</v>
      </c>
      <c r="H8" s="4">
        <v>3.2258064516129031E-2</v>
      </c>
      <c r="I8" s="4">
        <v>7.407407407407407E-2</v>
      </c>
      <c r="J8" s="4">
        <v>0.1</v>
      </c>
      <c r="K8" s="4">
        <v>5.5555555555555559E-2</v>
      </c>
      <c r="L8" s="4">
        <v>0</v>
      </c>
      <c r="M8" s="4">
        <v>0.04</v>
      </c>
    </row>
    <row r="9" spans="1:13" x14ac:dyDescent="0.35">
      <c r="A9" s="6"/>
      <c r="B9" s="2" t="s">
        <v>2</v>
      </c>
      <c r="C9" s="4">
        <v>3.0959752321981426E-3</v>
      </c>
      <c r="D9" s="4">
        <v>2.9806259314456036E-3</v>
      </c>
      <c r="E9" s="4">
        <v>4.6801872074882997E-3</v>
      </c>
      <c r="F9" s="4">
        <v>1.2861736334405145E-2</v>
      </c>
      <c r="G9" s="4">
        <v>9.3896713615023476E-3</v>
      </c>
      <c r="H9" s="4">
        <v>1.6248153618906941E-2</v>
      </c>
      <c r="I9" s="4">
        <v>3.3898305084745762E-3</v>
      </c>
      <c r="J9" s="4">
        <v>1.6393442622950821E-2</v>
      </c>
      <c r="K9" s="4">
        <v>4.8543689320388319E-3</v>
      </c>
      <c r="L9" s="4">
        <v>2.2123893805309734E-2</v>
      </c>
      <c r="M9" s="4">
        <v>9.9337748344370865E-3</v>
      </c>
    </row>
    <row r="10" spans="1:13" x14ac:dyDescent="0.35">
      <c r="A10" s="6"/>
      <c r="B10" s="2" t="s">
        <v>70</v>
      </c>
      <c r="C10" s="4">
        <v>1.1160714285714286E-2</v>
      </c>
      <c r="D10" s="4">
        <v>1.1210762331838564E-2</v>
      </c>
      <c r="E10" s="4">
        <v>2.336448598130841E-2</v>
      </c>
      <c r="F10" s="4">
        <v>2.0997375328083989E-2</v>
      </c>
      <c r="G10" s="4">
        <v>1.6509433962264151E-2</v>
      </c>
      <c r="H10" s="4">
        <v>3.3942558746736295E-2</v>
      </c>
      <c r="I10" s="4">
        <v>1.8867924528301886E-2</v>
      </c>
      <c r="J10" s="4">
        <v>2.0833333333333329E-2</v>
      </c>
      <c r="K10" s="4">
        <v>1.4851485148514853E-2</v>
      </c>
      <c r="L10" s="4">
        <v>4.6997389033942558E-2</v>
      </c>
      <c r="M10" s="4">
        <v>5.4590570719602979E-2</v>
      </c>
    </row>
    <row r="11" spans="1:13" x14ac:dyDescent="0.35">
      <c r="A11" s="6"/>
      <c r="B11" s="2" t="s">
        <v>3</v>
      </c>
      <c r="C11" s="4">
        <v>0</v>
      </c>
      <c r="D11" s="4">
        <v>0</v>
      </c>
      <c r="E11" s="4">
        <v>9.0909090909090905E-3</v>
      </c>
      <c r="F11" s="4">
        <v>1.7699115044247787E-2</v>
      </c>
      <c r="G11" s="4">
        <v>0.01</v>
      </c>
      <c r="H11" s="4">
        <v>1.098901098901099E-2</v>
      </c>
      <c r="I11" s="4">
        <v>1.1235955056179775E-2</v>
      </c>
      <c r="J11" s="4">
        <v>0</v>
      </c>
      <c r="K11" s="4">
        <v>3.2258064516129024E-2</v>
      </c>
      <c r="L11" s="4">
        <v>2.7522935779816515E-2</v>
      </c>
      <c r="M11" s="4">
        <v>0</v>
      </c>
    </row>
    <row r="12" spans="1:13" x14ac:dyDescent="0.35">
      <c r="A12" s="6"/>
      <c r="B12" s="2" t="s">
        <v>71</v>
      </c>
      <c r="C12" s="4">
        <v>3.0769230769230771E-2</v>
      </c>
      <c r="D12" s="4">
        <v>4.2168674698795178E-2</v>
      </c>
      <c r="E12" s="4">
        <v>1.3245033112582781E-2</v>
      </c>
      <c r="F12" s="4">
        <v>5.3892215568862277E-2</v>
      </c>
      <c r="G12" s="4">
        <v>2.1126760563380281E-2</v>
      </c>
      <c r="H12" s="4">
        <v>1.06951871657754E-2</v>
      </c>
      <c r="I12" s="4">
        <v>4.3715846994535519E-2</v>
      </c>
      <c r="J12" s="4">
        <v>3.3333333333333326E-2</v>
      </c>
      <c r="K12" s="4">
        <v>2.5316455696202528E-2</v>
      </c>
      <c r="L12" s="4">
        <v>6.2827225130890049E-2</v>
      </c>
      <c r="M12" s="4">
        <v>0.04</v>
      </c>
    </row>
    <row r="13" spans="1:13" x14ac:dyDescent="0.35">
      <c r="A13" s="6"/>
      <c r="B13" s="2" t="s">
        <v>72</v>
      </c>
      <c r="C13" s="4">
        <v>1.9695613249776187E-2</v>
      </c>
      <c r="D13" s="4">
        <v>2.4744027303754267E-2</v>
      </c>
      <c r="E13" s="4">
        <v>1.6853932584269662E-2</v>
      </c>
      <c r="F13" s="4">
        <v>3.3737024221453291E-2</v>
      </c>
      <c r="G13" s="4">
        <v>1.8921475875118259E-2</v>
      </c>
      <c r="H13" s="4">
        <v>2.1834061135371178E-2</v>
      </c>
      <c r="I13" s="4">
        <v>2.7287319422150885E-2</v>
      </c>
      <c r="J13" s="4">
        <v>2.0475020475020471E-2</v>
      </c>
      <c r="K13" s="4">
        <v>3.4082106893880713E-2</v>
      </c>
      <c r="L13" s="4">
        <v>2.8396009209516501E-2</v>
      </c>
      <c r="M13" s="4">
        <v>3.2740213523131674E-2</v>
      </c>
    </row>
    <row r="14" spans="1:13" x14ac:dyDescent="0.35">
      <c r="A14" s="6"/>
      <c r="B14" s="2" t="s">
        <v>73</v>
      </c>
      <c r="C14" s="4">
        <v>0</v>
      </c>
      <c r="D14" s="4">
        <v>1.8181818181818181E-2</v>
      </c>
      <c r="E14" s="4">
        <v>0</v>
      </c>
      <c r="F14" s="4">
        <v>0</v>
      </c>
      <c r="G14" s="4">
        <v>2.1276595744680851E-2</v>
      </c>
      <c r="H14" s="4">
        <v>1.7857142857142856E-2</v>
      </c>
      <c r="I14" s="4">
        <v>0</v>
      </c>
      <c r="J14" s="4">
        <v>3.6363636363636369E-2</v>
      </c>
      <c r="K14" s="4">
        <v>0.04</v>
      </c>
      <c r="L14" s="4">
        <v>0</v>
      </c>
      <c r="M14" s="4">
        <v>1.9230769230769232E-2</v>
      </c>
    </row>
    <row r="15" spans="1:13" x14ac:dyDescent="0.35">
      <c r="A15" s="6"/>
      <c r="B15" s="2" t="s">
        <v>74</v>
      </c>
      <c r="C15" s="4">
        <v>0</v>
      </c>
      <c r="D15" s="4">
        <v>2.4630541871921183E-3</v>
      </c>
      <c r="E15" s="4">
        <v>2.5839793281653748E-3</v>
      </c>
      <c r="F15" s="4">
        <v>0</v>
      </c>
      <c r="G15" s="4">
        <v>0</v>
      </c>
      <c r="H15" s="4">
        <v>5.2493438320209973E-3</v>
      </c>
      <c r="I15" s="4">
        <v>7.6923076923076927E-3</v>
      </c>
      <c r="J15" s="4">
        <v>8.5470085470085479E-3</v>
      </c>
      <c r="K15" s="4">
        <v>1.0666666666666665E-2</v>
      </c>
      <c r="L15" s="4">
        <v>2.8846153846153848E-2</v>
      </c>
      <c r="M15" s="4">
        <v>2.4767801857585141E-2</v>
      </c>
    </row>
    <row r="16" spans="1:13" x14ac:dyDescent="0.35">
      <c r="A16" s="6"/>
      <c r="B16" s="2" t="s">
        <v>4</v>
      </c>
      <c r="C16" s="4">
        <v>8.3481349911190047E-3</v>
      </c>
      <c r="D16" s="4">
        <v>8.3038869257950534E-3</v>
      </c>
      <c r="E16" s="4">
        <v>1.4752932811944543E-2</v>
      </c>
      <c r="F16" s="4">
        <v>1.5409139213602551E-2</v>
      </c>
      <c r="G16" s="4">
        <v>1.61892901618929E-2</v>
      </c>
      <c r="H16" s="4">
        <v>2.3878560463926318E-2</v>
      </c>
      <c r="I16" s="4">
        <v>2.4829931972789116E-2</v>
      </c>
      <c r="J16" s="4">
        <v>2.0540910647038686E-2</v>
      </c>
      <c r="K16" s="4">
        <v>2.5325238508239378E-2</v>
      </c>
      <c r="L16" s="4">
        <v>2.8652785193094856E-2</v>
      </c>
      <c r="M16" s="4">
        <v>3.7217545414266723E-2</v>
      </c>
    </row>
    <row r="17" spans="1:13" x14ac:dyDescent="0.35">
      <c r="A17" s="6"/>
      <c r="B17" s="2" t="s">
        <v>5</v>
      </c>
      <c r="C17" s="4">
        <v>7.8936590088245148E-3</v>
      </c>
      <c r="D17" s="4">
        <v>8.0115426965865506E-3</v>
      </c>
      <c r="E17" s="4">
        <v>9.2194460584931245E-3</v>
      </c>
      <c r="F17" s="4">
        <v>1.1616002520081903E-2</v>
      </c>
      <c r="G17" s="4">
        <v>1.3222018055444595E-2</v>
      </c>
      <c r="H17" s="4">
        <v>1.6004300897398783E-2</v>
      </c>
      <c r="I17" s="4">
        <v>1.7797685111780561E-2</v>
      </c>
      <c r="J17" s="4">
        <v>1.5790343915343917E-2</v>
      </c>
      <c r="K17" s="4">
        <v>1.7474218366344739E-2</v>
      </c>
      <c r="L17" s="4">
        <v>2.6458804395255664E-2</v>
      </c>
      <c r="M17" s="4">
        <v>2.8058405682715074E-2</v>
      </c>
    </row>
    <row r="18" spans="1:13" x14ac:dyDescent="0.35">
      <c r="A18" s="6"/>
      <c r="B18" s="2" t="s">
        <v>75</v>
      </c>
      <c r="C18" s="4">
        <v>5.3097345132743362E-2</v>
      </c>
      <c r="D18" s="4">
        <v>5.128205128205128E-2</v>
      </c>
      <c r="E18" s="4">
        <v>1.9607843137254902E-2</v>
      </c>
      <c r="F18" s="4">
        <v>0.06</v>
      </c>
      <c r="G18" s="4">
        <v>3.4883720930232558E-2</v>
      </c>
      <c r="H18" s="4">
        <v>3.9215686274509803E-2</v>
      </c>
      <c r="I18" s="4">
        <v>7.3684210526315783E-2</v>
      </c>
      <c r="J18" s="4">
        <v>8.4905660377358444E-2</v>
      </c>
      <c r="K18" s="4">
        <v>0.11111111111111112</v>
      </c>
      <c r="L18" s="4">
        <v>0.11016949152542373</v>
      </c>
      <c r="M18" s="4">
        <v>0.13793103448275862</v>
      </c>
    </row>
    <row r="19" spans="1:13" x14ac:dyDescent="0.35">
      <c r="A19" s="6"/>
      <c r="B19" s="2" t="s">
        <v>6</v>
      </c>
      <c r="C19" s="4">
        <v>0</v>
      </c>
      <c r="D19" s="4">
        <v>0</v>
      </c>
      <c r="E19" s="4">
        <v>5.8823529411764705E-2</v>
      </c>
      <c r="F19" s="4">
        <v>0</v>
      </c>
      <c r="G19" s="4">
        <v>0</v>
      </c>
      <c r="H19" s="4">
        <v>0.125</v>
      </c>
      <c r="I19" s="4">
        <v>0</v>
      </c>
      <c r="J19" s="4">
        <v>0.1538461538461538</v>
      </c>
      <c r="K19" s="4">
        <v>0</v>
      </c>
      <c r="L19" s="4">
        <v>0</v>
      </c>
      <c r="M19" s="4">
        <v>5.5555555555555552E-2</v>
      </c>
    </row>
    <row r="20" spans="1:13" x14ac:dyDescent="0.35">
      <c r="A20" s="6"/>
      <c r="B20" s="2" t="s">
        <v>76</v>
      </c>
      <c r="C20" s="4">
        <v>0</v>
      </c>
      <c r="D20" s="4">
        <v>0</v>
      </c>
      <c r="E20" s="4">
        <v>4.807692307692308E-3</v>
      </c>
      <c r="F20" s="4">
        <v>2.1621621621621623E-2</v>
      </c>
      <c r="G20" s="4">
        <v>1.5789473684210527E-2</v>
      </c>
      <c r="H20" s="4">
        <v>3.3333333333333333E-2</v>
      </c>
      <c r="I20" s="4">
        <v>3.783783783783784E-2</v>
      </c>
      <c r="J20" s="4">
        <v>2.7322404371584706E-2</v>
      </c>
      <c r="K20" s="4">
        <v>2.3041474654377881E-2</v>
      </c>
      <c r="L20" s="4">
        <v>7.2222222222222215E-2</v>
      </c>
      <c r="M20" s="4">
        <v>6.8421052631578952E-2</v>
      </c>
    </row>
    <row r="21" spans="1:13" x14ac:dyDescent="0.35">
      <c r="A21" s="6"/>
      <c r="B21" s="2" t="s">
        <v>77</v>
      </c>
      <c r="C21" s="4">
        <v>1.6046681254558718E-2</v>
      </c>
      <c r="D21" s="4">
        <v>1.9005847953216373E-2</v>
      </c>
      <c r="E21" s="4">
        <v>1.6079632465543645E-2</v>
      </c>
      <c r="F21" s="4">
        <v>1.8853695324283559E-2</v>
      </c>
      <c r="G21" s="4">
        <v>1.9410496046010063E-2</v>
      </c>
      <c r="H21" s="4">
        <v>2.3970037453183522E-2</v>
      </c>
      <c r="I21" s="4">
        <v>2.5056947608200455E-2</v>
      </c>
      <c r="J21" s="4">
        <v>2.4224072672218017E-2</v>
      </c>
      <c r="K21" s="4">
        <v>3.3381712626995637E-2</v>
      </c>
      <c r="L21" s="4">
        <v>4.7655068078668684E-2</v>
      </c>
      <c r="M21" s="4">
        <v>4.6811945117029866E-2</v>
      </c>
    </row>
    <row r="22" spans="1:13" x14ac:dyDescent="0.35">
      <c r="A22" s="6"/>
      <c r="B22" s="2" t="s">
        <v>7</v>
      </c>
      <c r="C22" s="4">
        <v>1.0615711252653927E-2</v>
      </c>
      <c r="D22" s="4">
        <v>1.3683010262257697E-2</v>
      </c>
      <c r="E22" s="4">
        <v>1.1199073180150608E-2</v>
      </c>
      <c r="F22" s="4">
        <v>1.0222134853548261E-2</v>
      </c>
      <c r="G22" s="4">
        <v>1.6965870980469519E-2</v>
      </c>
      <c r="H22" s="4">
        <v>1.715734061220511E-2</v>
      </c>
      <c r="I22" s="4">
        <v>1.8628912071535022E-2</v>
      </c>
      <c r="J22" s="4">
        <v>2.1081193905238989E-2</v>
      </c>
      <c r="K22" s="4">
        <v>2.6859045504994444E-2</v>
      </c>
      <c r="L22" s="4">
        <v>3.3223954060705496E-2</v>
      </c>
      <c r="M22" s="4">
        <v>3.2297379646556976E-2</v>
      </c>
    </row>
    <row r="23" spans="1:13" x14ac:dyDescent="0.35">
      <c r="A23" s="6"/>
      <c r="B23" s="2" t="s">
        <v>78</v>
      </c>
      <c r="C23" s="4">
        <v>6.6510172143974958E-3</v>
      </c>
      <c r="D23" s="4">
        <v>7.2086503804565478E-3</v>
      </c>
      <c r="E23" s="4">
        <v>8.6819258089976328E-3</v>
      </c>
      <c r="F23" s="4">
        <v>1.5138772077375946E-2</v>
      </c>
      <c r="G23" s="4">
        <v>1.2113617376775271E-2</v>
      </c>
      <c r="H23" s="4">
        <v>1.3356311934510987E-2</v>
      </c>
      <c r="I23" s="4">
        <v>1.6935150764147047E-2</v>
      </c>
      <c r="J23" s="4">
        <v>1.1991434689507492E-2</v>
      </c>
      <c r="K23" s="4">
        <v>1.9279128248113998E-2</v>
      </c>
      <c r="L23" s="4">
        <v>2.5416301489921123E-2</v>
      </c>
      <c r="M23" s="4">
        <v>2.8082492321193506E-2</v>
      </c>
    </row>
    <row r="24" spans="1:13" x14ac:dyDescent="0.35">
      <c r="A24" s="6"/>
      <c r="B24" s="2" t="s">
        <v>8</v>
      </c>
      <c r="C24" s="4">
        <v>2.5316455696202531E-2</v>
      </c>
      <c r="D24" s="4">
        <v>2.4691358024691357E-2</v>
      </c>
      <c r="E24" s="4">
        <v>9.1743119266055051E-3</v>
      </c>
      <c r="F24" s="4">
        <v>2.3529411764705882E-2</v>
      </c>
      <c r="G24" s="4">
        <v>0.03</v>
      </c>
      <c r="H24" s="4">
        <v>4.7058823529411764E-2</v>
      </c>
      <c r="I24" s="4">
        <v>0.18478260869565216</v>
      </c>
      <c r="J24" s="4">
        <v>8.1081081081081099E-2</v>
      </c>
      <c r="K24" s="4">
        <v>1.388888888888889E-2</v>
      </c>
      <c r="L24" s="4">
        <v>7.575757575757576E-2</v>
      </c>
      <c r="M24" s="4">
        <v>2.6315789473684209E-2</v>
      </c>
    </row>
    <row r="25" spans="1:13" x14ac:dyDescent="0.35">
      <c r="A25" s="6"/>
      <c r="B25" s="2" t="s">
        <v>79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6.6666666666666652E-2</v>
      </c>
      <c r="K25" s="4">
        <v>0.14285714285714279</v>
      </c>
      <c r="L25" s="4">
        <v>0</v>
      </c>
      <c r="M25" s="4">
        <v>0.2</v>
      </c>
    </row>
    <row r="26" spans="1:13" x14ac:dyDescent="0.35">
      <c r="A26" s="6"/>
      <c r="B26" s="2" t="s">
        <v>80</v>
      </c>
      <c r="C26" s="4">
        <v>0</v>
      </c>
      <c r="D26" s="4">
        <v>0</v>
      </c>
      <c r="E26" s="4">
        <v>0</v>
      </c>
      <c r="F26" s="4">
        <v>0</v>
      </c>
      <c r="G26" s="4">
        <v>6.7567567567567571E-3</v>
      </c>
      <c r="H26" s="4">
        <v>9.3457943925233638E-3</v>
      </c>
      <c r="I26" s="4">
        <v>0</v>
      </c>
      <c r="J26" s="4">
        <v>1.0101010101010102E-2</v>
      </c>
      <c r="K26" s="4">
        <v>0</v>
      </c>
      <c r="L26" s="4">
        <v>2.6666666666666668E-2</v>
      </c>
      <c r="M26" s="4">
        <v>1.0869565217391304E-2</v>
      </c>
    </row>
    <row r="27" spans="1:13" x14ac:dyDescent="0.35">
      <c r="A27" s="6"/>
      <c r="B27" s="2" t="s">
        <v>9</v>
      </c>
      <c r="C27" s="4">
        <v>4.0160642570281121E-3</v>
      </c>
      <c r="D27" s="4">
        <v>1.0183299389002037E-2</v>
      </c>
      <c r="E27" s="4">
        <v>1.050420168067227E-2</v>
      </c>
      <c r="F27" s="4">
        <v>6.5217391304347823E-3</v>
      </c>
      <c r="G27" s="4">
        <v>1.0775862068965518E-2</v>
      </c>
      <c r="H27" s="4">
        <v>3.3936651583710405E-2</v>
      </c>
      <c r="I27" s="4">
        <v>2.5000000000000001E-2</v>
      </c>
      <c r="J27" s="4">
        <v>3.0379746835443047E-2</v>
      </c>
      <c r="K27" s="4">
        <v>3.0373831775700928E-2</v>
      </c>
      <c r="L27" s="4">
        <v>3.669724770642202E-2</v>
      </c>
      <c r="M27" s="4">
        <v>6.363636363636363E-2</v>
      </c>
    </row>
    <row r="28" spans="1:13" x14ac:dyDescent="0.35">
      <c r="A28" s="6"/>
      <c r="B28" s="2" t="s">
        <v>81</v>
      </c>
      <c r="C28" s="4">
        <v>0</v>
      </c>
      <c r="D28" s="4">
        <v>0</v>
      </c>
      <c r="E28" s="4">
        <v>5.208333333333333E-3</v>
      </c>
      <c r="F28" s="4">
        <v>0</v>
      </c>
      <c r="G28" s="4">
        <v>1.0416666666666666E-2</v>
      </c>
      <c r="H28" s="4">
        <v>4.5248868778280547E-3</v>
      </c>
      <c r="I28" s="4">
        <v>4.464285714285714E-3</v>
      </c>
      <c r="J28" s="4">
        <v>9.0090090090090072E-3</v>
      </c>
      <c r="K28" s="4">
        <v>1.8604651162790701E-2</v>
      </c>
      <c r="L28" s="4">
        <v>8.771929824561403E-3</v>
      </c>
      <c r="M28" s="4">
        <v>1.4563106796116505E-2</v>
      </c>
    </row>
    <row r="29" spans="1:13" x14ac:dyDescent="0.35">
      <c r="A29" s="6"/>
      <c r="B29" s="2" t="s">
        <v>82</v>
      </c>
      <c r="C29" s="4">
        <v>4.3087971274685818E-2</v>
      </c>
      <c r="D29" s="4">
        <v>3.5087719298245612E-2</v>
      </c>
      <c r="E29" s="4">
        <v>1.4344262295081968E-2</v>
      </c>
      <c r="F29" s="4">
        <v>1.9569471624266144E-2</v>
      </c>
      <c r="G29" s="4">
        <v>3.4836065573770489E-2</v>
      </c>
      <c r="H29" s="4">
        <v>3.3398821218074658E-2</v>
      </c>
      <c r="I29" s="4">
        <v>5.019305019305019E-2</v>
      </c>
      <c r="J29" s="4">
        <v>3.9840637450199189E-2</v>
      </c>
      <c r="K29" s="4">
        <v>7.1955719557195555E-2</v>
      </c>
      <c r="L29" s="4">
        <v>7.4148296593186377E-2</v>
      </c>
      <c r="M29" s="4">
        <v>8.2375478927203066E-2</v>
      </c>
    </row>
    <row r="30" spans="1:13" x14ac:dyDescent="0.35">
      <c r="A30" s="6"/>
      <c r="B30" s="2" t="s">
        <v>83</v>
      </c>
      <c r="C30" s="4">
        <v>2.4193548387096774E-2</v>
      </c>
      <c r="D30" s="4">
        <v>1.6E-2</v>
      </c>
      <c r="E30" s="4">
        <v>1.7204301075268817E-2</v>
      </c>
      <c r="F30" s="4">
        <v>2.4439918533604887E-2</v>
      </c>
      <c r="G30" s="4">
        <v>1.4403292181069959E-2</v>
      </c>
      <c r="H30" s="4">
        <v>3.1746031746031744E-2</v>
      </c>
      <c r="I30" s="4">
        <v>2.2099447513812154E-2</v>
      </c>
      <c r="J30" s="4">
        <v>1.7667844522968199E-2</v>
      </c>
      <c r="K30" s="4">
        <v>2.0109689213893969E-2</v>
      </c>
      <c r="L30" s="4">
        <v>1.953125E-2</v>
      </c>
      <c r="M30" s="4">
        <v>3.098106712564544E-2</v>
      </c>
    </row>
    <row r="31" spans="1:13" x14ac:dyDescent="0.35">
      <c r="A31" s="6"/>
      <c r="B31" s="2" t="s">
        <v>84</v>
      </c>
      <c r="C31" s="4">
        <v>6.1162079510703364E-3</v>
      </c>
      <c r="D31" s="4">
        <v>6.688963210702341E-3</v>
      </c>
      <c r="E31" s="4">
        <v>2.967359050445104E-3</v>
      </c>
      <c r="F31" s="4">
        <v>6.6225165562913907E-3</v>
      </c>
      <c r="G31" s="4">
        <v>1.0752688172043012E-2</v>
      </c>
      <c r="H31" s="4">
        <v>7.0422535211267607E-3</v>
      </c>
      <c r="I31" s="4">
        <v>6.5146579804560263E-3</v>
      </c>
      <c r="J31" s="4">
        <v>3.6101083032490967E-3</v>
      </c>
      <c r="K31" s="4">
        <v>7.0422535211267599E-3</v>
      </c>
      <c r="L31" s="4">
        <v>2.4590163934426229E-2</v>
      </c>
      <c r="M31" s="4">
        <v>8.5470085470085479E-3</v>
      </c>
    </row>
    <row r="32" spans="1:13" x14ac:dyDescent="0.35">
      <c r="A32" s="6"/>
      <c r="B32" s="2" t="s">
        <v>85</v>
      </c>
      <c r="C32" s="4">
        <v>1.6666666666666666E-2</v>
      </c>
      <c r="D32" s="4">
        <v>3.2258064516129031E-2</v>
      </c>
      <c r="E32" s="4">
        <v>1.8072289156626505E-2</v>
      </c>
      <c r="F32" s="4">
        <v>2.2598870056497175E-2</v>
      </c>
      <c r="G32" s="4">
        <v>2.2099447513812154E-2</v>
      </c>
      <c r="H32" s="4">
        <v>2.9411764705882353E-2</v>
      </c>
      <c r="I32" s="4">
        <v>3.5294117647058823E-2</v>
      </c>
      <c r="J32" s="4">
        <v>1.9230769230769225E-2</v>
      </c>
      <c r="K32" s="4">
        <v>4.1450777202072554E-2</v>
      </c>
      <c r="L32" s="4">
        <v>7.0652173913043473E-2</v>
      </c>
      <c r="M32" s="4">
        <v>5.9459459459459463E-2</v>
      </c>
    </row>
    <row r="33" spans="1:13" x14ac:dyDescent="0.35">
      <c r="A33" s="6"/>
      <c r="B33" s="2" t="s">
        <v>86</v>
      </c>
      <c r="C33" s="4">
        <v>2.537641684994079E-3</v>
      </c>
      <c r="D33" s="4">
        <v>1.1440011440011441E-3</v>
      </c>
      <c r="E33" s="4">
        <v>2.6994601079784043E-3</v>
      </c>
      <c r="F33" s="4">
        <v>2.7924294135898233E-3</v>
      </c>
      <c r="G33" s="4">
        <v>3.8694481830417226E-3</v>
      </c>
      <c r="H33" s="4">
        <v>7.7768385460693151E-3</v>
      </c>
      <c r="I33" s="4">
        <v>6.5517241379310347E-3</v>
      </c>
      <c r="J33" s="4">
        <v>5.9674502712477396E-3</v>
      </c>
      <c r="K33" s="4">
        <v>7.1030908043770392E-3</v>
      </c>
      <c r="L33" s="4">
        <v>6.4478311840562722E-3</v>
      </c>
      <c r="M33" s="4">
        <v>1.0792099368764E-2</v>
      </c>
    </row>
    <row r="34" spans="1:13" x14ac:dyDescent="0.35">
      <c r="A34" s="6"/>
      <c r="B34" s="2" t="s">
        <v>87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5.3763440860215058E-3</v>
      </c>
      <c r="I34" s="4">
        <v>0</v>
      </c>
      <c r="J34" s="4">
        <v>5.6179775280898884E-3</v>
      </c>
      <c r="K34" s="4">
        <v>2.5477707006369421E-2</v>
      </c>
      <c r="L34" s="4">
        <v>1.7964071856287425E-2</v>
      </c>
      <c r="M34" s="4">
        <v>4.5714285714285714E-2</v>
      </c>
    </row>
    <row r="35" spans="1:13" x14ac:dyDescent="0.35">
      <c r="A35" s="6"/>
      <c r="B35" s="2" t="s">
        <v>10</v>
      </c>
      <c r="C35" s="4">
        <v>2.1739130434782608E-2</v>
      </c>
      <c r="D35" s="4">
        <v>2.5423728813559324E-2</v>
      </c>
      <c r="E35" s="4">
        <v>5.0505050505050504E-2</v>
      </c>
      <c r="F35" s="4">
        <v>4.807692307692308E-2</v>
      </c>
      <c r="G35" s="4">
        <v>5.4545454545454543E-2</v>
      </c>
      <c r="H35" s="4">
        <v>3.3333333333333333E-2</v>
      </c>
      <c r="I35" s="4">
        <v>6.6037735849056603E-2</v>
      </c>
      <c r="J35" s="4">
        <v>5.8823529411764712E-2</v>
      </c>
      <c r="K35" s="4">
        <v>2.1052631578947364E-2</v>
      </c>
      <c r="L35" s="4">
        <v>3.5714285714285712E-2</v>
      </c>
      <c r="M35" s="4">
        <v>8.3333333333333329E-2</v>
      </c>
    </row>
    <row r="36" spans="1:13" x14ac:dyDescent="0.35">
      <c r="A36" s="6"/>
      <c r="B36" s="2" t="s">
        <v>88</v>
      </c>
      <c r="C36" s="4">
        <v>1.2626262626262626E-2</v>
      </c>
      <c r="D36" s="4">
        <v>1.6260162601626018E-2</v>
      </c>
      <c r="E36" s="4">
        <v>1.0178117048346057E-2</v>
      </c>
      <c r="F36" s="4">
        <v>5.3475935828877002E-3</v>
      </c>
      <c r="G36" s="4">
        <v>2.0779220779220779E-2</v>
      </c>
      <c r="H36" s="4">
        <v>3.0456852791878174E-2</v>
      </c>
      <c r="I36" s="4">
        <v>3.9702233250620347E-2</v>
      </c>
      <c r="J36" s="4">
        <v>2.2727272727272728E-2</v>
      </c>
      <c r="K36" s="4">
        <v>3.9603960396039598E-2</v>
      </c>
      <c r="L36" s="4">
        <v>4.8158640226628892E-2</v>
      </c>
      <c r="M36" s="4">
        <v>4.49438202247191E-2</v>
      </c>
    </row>
    <row r="37" spans="1:13" x14ac:dyDescent="0.35">
      <c r="A37" s="6"/>
      <c r="B37" s="2" t="s">
        <v>89</v>
      </c>
      <c r="C37" s="4">
        <v>0</v>
      </c>
      <c r="D37" s="4">
        <v>8.6206896551724137E-3</v>
      </c>
      <c r="E37" s="4">
        <v>0</v>
      </c>
      <c r="F37" s="4">
        <v>1.6260162601626018E-2</v>
      </c>
      <c r="G37" s="4">
        <v>8.0000000000000002E-3</v>
      </c>
      <c r="H37" s="4">
        <v>8.9285714285714281E-3</v>
      </c>
      <c r="I37" s="4">
        <v>2.9850746268656716E-2</v>
      </c>
      <c r="J37" s="4">
        <v>8.5470085470085479E-3</v>
      </c>
      <c r="K37" s="4">
        <v>2.9411764705882356E-2</v>
      </c>
      <c r="L37" s="4">
        <v>0</v>
      </c>
      <c r="M37" s="4">
        <v>9.9009900990099011E-3</v>
      </c>
    </row>
    <row r="38" spans="1:13" x14ac:dyDescent="0.35">
      <c r="A38" s="6"/>
      <c r="B38" s="2" t="s">
        <v>90</v>
      </c>
      <c r="C38" s="4">
        <v>1.289134438305709E-2</v>
      </c>
      <c r="D38" s="4">
        <v>1.0291595197255575E-2</v>
      </c>
      <c r="E38" s="4">
        <v>1.5845070422535211E-2</v>
      </c>
      <c r="F38" s="4">
        <v>2.3333333333333334E-2</v>
      </c>
      <c r="G38" s="4">
        <v>2.8880866425992781E-2</v>
      </c>
      <c r="H38" s="4">
        <v>2.6101141924959218E-2</v>
      </c>
      <c r="I38" s="4">
        <v>2.8225806451612902E-2</v>
      </c>
      <c r="J38" s="4">
        <v>3.0303030303030304E-2</v>
      </c>
      <c r="K38" s="4">
        <v>2.9661016949152536E-2</v>
      </c>
      <c r="L38" s="4">
        <v>4.1095890410958902E-2</v>
      </c>
      <c r="M38" s="4">
        <v>5.8423913043478264E-2</v>
      </c>
    </row>
    <row r="39" spans="1:13" x14ac:dyDescent="0.35">
      <c r="A39" s="6"/>
      <c r="B39" s="2" t="s">
        <v>91</v>
      </c>
      <c r="C39" s="4">
        <v>3.0165912518853697E-3</v>
      </c>
      <c r="D39" s="4">
        <v>5.7971014492753624E-3</v>
      </c>
      <c r="E39" s="4">
        <v>6.4516129032258064E-3</v>
      </c>
      <c r="F39" s="4">
        <v>0</v>
      </c>
      <c r="G39" s="4">
        <v>9.9173553719008271E-3</v>
      </c>
      <c r="H39" s="4">
        <v>3.4188034188034188E-3</v>
      </c>
      <c r="I39" s="4">
        <v>4.830917874396135E-3</v>
      </c>
      <c r="J39" s="4">
        <v>3.2414910858995145E-3</v>
      </c>
      <c r="K39" s="4">
        <v>1.4778325123152703E-2</v>
      </c>
      <c r="L39" s="4">
        <v>1.335559265442404E-2</v>
      </c>
      <c r="M39" s="4">
        <v>2.6315789473684209E-2</v>
      </c>
    </row>
    <row r="40" spans="1:13" x14ac:dyDescent="0.35">
      <c r="A40" s="6"/>
      <c r="B40" s="2" t="s">
        <v>92</v>
      </c>
      <c r="C40" s="4">
        <v>0</v>
      </c>
      <c r="D40" s="4">
        <v>0</v>
      </c>
      <c r="E40" s="4">
        <v>0</v>
      </c>
      <c r="F40" s="4">
        <v>1.3698630136986301E-2</v>
      </c>
      <c r="G40" s="4">
        <v>1.2048192771084338E-2</v>
      </c>
      <c r="H40" s="4">
        <v>4.6153846153846156E-2</v>
      </c>
      <c r="I40" s="4">
        <v>3.1746031746031744E-2</v>
      </c>
      <c r="J40" s="4">
        <v>0</v>
      </c>
      <c r="K40" s="4">
        <v>0</v>
      </c>
      <c r="L40" s="4">
        <v>0</v>
      </c>
      <c r="M40" s="4">
        <v>1.6393442622950821E-2</v>
      </c>
    </row>
    <row r="41" spans="1:13" x14ac:dyDescent="0.35">
      <c r="A41" s="6"/>
      <c r="B41" s="2" t="s">
        <v>93</v>
      </c>
      <c r="C41" s="4">
        <v>0</v>
      </c>
      <c r="D41" s="4">
        <v>0</v>
      </c>
      <c r="E41" s="4">
        <v>8.771929824561403E-3</v>
      </c>
      <c r="F41" s="4">
        <v>0.01</v>
      </c>
      <c r="G41" s="4">
        <v>1.7543859649122806E-2</v>
      </c>
      <c r="H41" s="4">
        <v>7.462686567164179E-3</v>
      </c>
      <c r="I41" s="4">
        <v>1.5625E-2</v>
      </c>
      <c r="J41" s="4">
        <v>2.8037383177570097E-2</v>
      </c>
      <c r="K41" s="4">
        <v>0</v>
      </c>
      <c r="L41" s="4">
        <v>3.7383177570093455E-2</v>
      </c>
      <c r="M41" s="4">
        <v>8.0882352941176475E-2</v>
      </c>
    </row>
    <row r="42" spans="1:13" x14ac:dyDescent="0.35">
      <c r="A42" s="6"/>
      <c r="B42" s="2" t="s">
        <v>11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6.6666666666666666E-2</v>
      </c>
      <c r="J42" s="4">
        <v>7.4999999999999997E-2</v>
      </c>
      <c r="K42" s="4">
        <v>9.3023255813953501E-2</v>
      </c>
      <c r="L42" s="4">
        <v>9.6153846153846159E-2</v>
      </c>
      <c r="M42" s="4">
        <v>4.7619047619047616E-2</v>
      </c>
    </row>
    <row r="43" spans="1:13" x14ac:dyDescent="0.35">
      <c r="A43" s="6"/>
      <c r="B43" s="2" t="s">
        <v>94</v>
      </c>
      <c r="C43" s="4">
        <v>4.3478260869565216E-2</v>
      </c>
      <c r="D43" s="4">
        <v>2.6315789473684209E-2</v>
      </c>
      <c r="E43" s="4">
        <v>0</v>
      </c>
      <c r="F43" s="4">
        <v>4.878048780487805E-2</v>
      </c>
      <c r="G43" s="4">
        <v>3.0303030303030304E-2</v>
      </c>
      <c r="H43" s="4">
        <v>0.05</v>
      </c>
      <c r="I43" s="4">
        <v>2.6315789473684209E-2</v>
      </c>
      <c r="J43" s="4">
        <v>2.9411764705882356E-2</v>
      </c>
      <c r="K43" s="4">
        <v>5.128205128205128E-2</v>
      </c>
      <c r="L43" s="4">
        <v>0.12121212121212122</v>
      </c>
      <c r="M43" s="4">
        <v>0.11428571428571428</v>
      </c>
    </row>
    <row r="44" spans="1:13" x14ac:dyDescent="0.35">
      <c r="A44" s="6"/>
      <c r="B44" s="2" t="s">
        <v>95</v>
      </c>
      <c r="C44" s="4">
        <v>0</v>
      </c>
      <c r="D44" s="4">
        <v>9.7087378640776691E-3</v>
      </c>
      <c r="E44" s="4">
        <v>1.1764705882352941E-2</v>
      </c>
      <c r="F44" s="4">
        <v>1.098901098901099E-2</v>
      </c>
      <c r="G44" s="4">
        <v>0</v>
      </c>
      <c r="H44" s="4">
        <v>2.4390243902439025E-2</v>
      </c>
      <c r="I44" s="4">
        <v>0</v>
      </c>
      <c r="J44" s="4">
        <v>2.3809523809523819E-2</v>
      </c>
      <c r="K44" s="4">
        <v>2.2222222222222223E-2</v>
      </c>
      <c r="L44" s="4">
        <v>7.2289156626506021E-2</v>
      </c>
      <c r="M44" s="4">
        <v>0.10256410256410256</v>
      </c>
    </row>
    <row r="45" spans="1:13" x14ac:dyDescent="0.35">
      <c r="A45" s="6"/>
      <c r="B45" s="2" t="s">
        <v>12</v>
      </c>
      <c r="C45" s="4">
        <v>2.9173764906303235E-2</v>
      </c>
      <c r="D45" s="4">
        <v>3.0255902728686553E-2</v>
      </c>
      <c r="E45" s="4">
        <v>3.3363579255950307E-2</v>
      </c>
      <c r="F45" s="4">
        <v>3.6304543254270107E-2</v>
      </c>
      <c r="G45" s="4">
        <v>3.5631804684922469E-2</v>
      </c>
      <c r="H45" s="4">
        <v>4.2631409222831346E-2</v>
      </c>
      <c r="I45" s="4">
        <v>4.497808271393177E-2</v>
      </c>
      <c r="J45" s="4">
        <v>4.349719975108899E-2</v>
      </c>
      <c r="K45" s="4">
        <v>4.6239248459708407E-2</v>
      </c>
      <c r="L45" s="4">
        <v>5.4057315233785819E-2</v>
      </c>
      <c r="M45" s="4">
        <v>5.8071206360179747E-2</v>
      </c>
    </row>
    <row r="46" spans="1:13" x14ac:dyDescent="0.35">
      <c r="A46" s="6"/>
      <c r="B46" s="2" t="s">
        <v>96</v>
      </c>
      <c r="C46" s="4">
        <v>0</v>
      </c>
      <c r="D46" s="4">
        <v>1.9607843137254902E-2</v>
      </c>
      <c r="E46" s="4">
        <v>0</v>
      </c>
      <c r="F46" s="4">
        <v>5.6603773584905662E-2</v>
      </c>
      <c r="G46" s="4">
        <v>1.7543859649122806E-2</v>
      </c>
      <c r="H46" s="4">
        <v>0</v>
      </c>
      <c r="I46" s="4">
        <v>0.1</v>
      </c>
      <c r="J46" s="4">
        <v>4.3478260869565216E-2</v>
      </c>
      <c r="K46" s="4">
        <v>6.25E-2</v>
      </c>
      <c r="L46" s="4">
        <v>9.6774193548387094E-2</v>
      </c>
      <c r="M46" s="4">
        <v>6.9767441860465115E-2</v>
      </c>
    </row>
    <row r="47" spans="1:13" x14ac:dyDescent="0.35">
      <c r="A47" s="6"/>
      <c r="B47" s="2" t="s">
        <v>97</v>
      </c>
      <c r="C47" s="4">
        <v>0</v>
      </c>
      <c r="D47" s="4">
        <v>4.9261083743842365E-3</v>
      </c>
      <c r="E47" s="4">
        <v>1.1560693641618497E-2</v>
      </c>
      <c r="F47" s="4">
        <v>0</v>
      </c>
      <c r="G47" s="4">
        <v>0</v>
      </c>
      <c r="H47" s="4">
        <v>1.7857142857142856E-2</v>
      </c>
      <c r="I47" s="4">
        <v>5.6497175141242938E-3</v>
      </c>
      <c r="J47" s="4">
        <v>1.0638297872340429E-2</v>
      </c>
      <c r="K47" s="4">
        <v>2.6315789473684206E-2</v>
      </c>
      <c r="L47" s="4">
        <v>1.9011406844106463E-2</v>
      </c>
      <c r="M47" s="4">
        <v>2.7777777777777776E-2</v>
      </c>
    </row>
    <row r="48" spans="1:13" x14ac:dyDescent="0.35">
      <c r="A48" s="6"/>
      <c r="B48" s="2" t="s">
        <v>98</v>
      </c>
      <c r="C48" s="4">
        <v>2.7087033747779751E-2</v>
      </c>
      <c r="D48" s="4">
        <v>1.8289894833104711E-2</v>
      </c>
      <c r="E48" s="4">
        <v>2.4368630926007974E-2</v>
      </c>
      <c r="F48" s="4">
        <v>2.1455616323096342E-2</v>
      </c>
      <c r="G48" s="4">
        <v>3.8494077834179359E-2</v>
      </c>
      <c r="H48" s="4">
        <v>3.0024019215372299E-2</v>
      </c>
      <c r="I48" s="4">
        <v>4.6904315196998121E-2</v>
      </c>
      <c r="J48" s="4">
        <v>3.3372138145129994E-2</v>
      </c>
      <c r="K48" s="4">
        <v>4.8935375420246528E-2</v>
      </c>
      <c r="L48" s="4">
        <v>6.8540623796688488E-2</v>
      </c>
      <c r="M48" s="4">
        <v>7.2837632776934752E-2</v>
      </c>
    </row>
    <row r="49" spans="1:13" x14ac:dyDescent="0.35">
      <c r="A49" s="6"/>
      <c r="B49" s="2" t="s">
        <v>99</v>
      </c>
      <c r="C49" s="4">
        <v>2.7777777777777776E-2</v>
      </c>
      <c r="D49" s="4">
        <v>1.8633540372670808E-2</v>
      </c>
      <c r="E49" s="4">
        <v>5.7803468208092483E-3</v>
      </c>
      <c r="F49" s="4">
        <v>5.5555555555555558E-3</v>
      </c>
      <c r="G49" s="4">
        <v>2.2857142857142857E-2</v>
      </c>
      <c r="H49" s="4">
        <v>5.9880239520958087E-3</v>
      </c>
      <c r="I49" s="4">
        <v>2.2988505747126436E-2</v>
      </c>
      <c r="J49" s="4">
        <v>1.183431952662722E-2</v>
      </c>
      <c r="K49" s="4">
        <v>3.9548022598870067E-2</v>
      </c>
      <c r="L49" s="4">
        <v>5.8139534883720929E-3</v>
      </c>
      <c r="M49" s="4">
        <v>2.0134228187919462E-2</v>
      </c>
    </row>
    <row r="50" spans="1:13" x14ac:dyDescent="0.35">
      <c r="A50" s="6"/>
      <c r="B50" s="2" t="s">
        <v>100</v>
      </c>
      <c r="C50" s="4">
        <v>0</v>
      </c>
      <c r="D50" s="4">
        <v>0</v>
      </c>
      <c r="E50" s="4">
        <v>0</v>
      </c>
      <c r="F50" s="4">
        <v>0</v>
      </c>
      <c r="G50" s="4">
        <v>2.9411764705882353E-2</v>
      </c>
      <c r="H50" s="4">
        <v>0</v>
      </c>
      <c r="I50" s="4">
        <v>0</v>
      </c>
      <c r="J50" s="4">
        <v>2.5000000000000001E-2</v>
      </c>
      <c r="K50" s="4">
        <v>0</v>
      </c>
      <c r="L50" s="4">
        <v>3.5714285714285712E-2</v>
      </c>
      <c r="M50" s="4">
        <v>0</v>
      </c>
    </row>
    <row r="51" spans="1:13" x14ac:dyDescent="0.35">
      <c r="A51" s="6"/>
      <c r="B51" s="2" t="s">
        <v>101</v>
      </c>
      <c r="C51" s="4">
        <v>5.4945054945054949E-3</v>
      </c>
      <c r="D51" s="4">
        <v>1.5296367112810707E-2</v>
      </c>
      <c r="E51" s="4">
        <v>1.1494252873563218E-2</v>
      </c>
      <c r="F51" s="4">
        <v>3.0864197530864196E-2</v>
      </c>
      <c r="G51" s="4">
        <v>1.3435700575815739E-2</v>
      </c>
      <c r="H51" s="4">
        <v>3.3158813263525308E-2</v>
      </c>
      <c r="I51" s="4">
        <v>1.6913319238900635E-2</v>
      </c>
      <c r="J51" s="4">
        <v>2.918287937743191E-2</v>
      </c>
      <c r="K51" s="4">
        <v>4.3630017452006994E-2</v>
      </c>
      <c r="L51" s="4">
        <v>3.825136612021858E-2</v>
      </c>
      <c r="M51" s="4">
        <v>6.3116370808678504E-2</v>
      </c>
    </row>
    <row r="52" spans="1:13" x14ac:dyDescent="0.35">
      <c r="A52" s="6"/>
      <c r="B52" s="2" t="s">
        <v>102</v>
      </c>
      <c r="C52" s="4">
        <v>3.2648125755743655E-2</v>
      </c>
      <c r="D52" s="4">
        <v>4.230317273795535E-2</v>
      </c>
      <c r="E52" s="4">
        <v>1.0088272383354351E-2</v>
      </c>
      <c r="F52" s="4">
        <v>1.3853904282115869E-2</v>
      </c>
      <c r="G52" s="4">
        <v>1.6645326504481434E-2</v>
      </c>
      <c r="H52" s="4">
        <v>2.7194066749072928E-2</v>
      </c>
      <c r="I52" s="4">
        <v>2.3030303030303029E-2</v>
      </c>
      <c r="J52" s="4">
        <v>2.8465346534653477E-2</v>
      </c>
      <c r="K52" s="4">
        <v>3.1980319803198043E-2</v>
      </c>
      <c r="L52" s="4">
        <v>3.1506849315068496E-2</v>
      </c>
      <c r="M52" s="4">
        <v>3.7234042553191488E-2</v>
      </c>
    </row>
    <row r="53" spans="1:13" x14ac:dyDescent="0.35">
      <c r="A53" s="6"/>
      <c r="B53" s="2" t="s">
        <v>103</v>
      </c>
      <c r="C53" s="4"/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0.1111111111111111</v>
      </c>
    </row>
    <row r="54" spans="1:13" x14ac:dyDescent="0.35">
      <c r="A54" s="6"/>
      <c r="B54" s="2" t="s">
        <v>104</v>
      </c>
      <c r="C54" s="4">
        <v>0</v>
      </c>
      <c r="D54" s="4">
        <v>1.1904761904761904E-2</v>
      </c>
      <c r="E54" s="4">
        <v>0</v>
      </c>
      <c r="F54" s="4">
        <v>0</v>
      </c>
      <c r="G54" s="4">
        <v>0</v>
      </c>
      <c r="H54" s="4">
        <v>0</v>
      </c>
      <c r="I54" s="4">
        <v>1.2345679012345678E-2</v>
      </c>
      <c r="J54" s="4">
        <v>1.234567901234568E-2</v>
      </c>
      <c r="K54" s="4">
        <v>1.9047619047619056E-2</v>
      </c>
      <c r="L54" s="4">
        <v>0</v>
      </c>
      <c r="M54" s="4"/>
    </row>
    <row r="55" spans="1:13" x14ac:dyDescent="0.35">
      <c r="A55" s="6"/>
      <c r="B55" s="2" t="s">
        <v>105</v>
      </c>
      <c r="C55" s="4">
        <v>0</v>
      </c>
      <c r="D55" s="4">
        <v>1.4705882352941176E-2</v>
      </c>
      <c r="E55" s="4">
        <v>0</v>
      </c>
      <c r="F55" s="4">
        <v>0</v>
      </c>
      <c r="G55" s="4">
        <v>0</v>
      </c>
      <c r="H55" s="4">
        <v>1.7857142857142856E-2</v>
      </c>
      <c r="I55" s="4">
        <v>0</v>
      </c>
      <c r="J55" s="4">
        <v>3.7735849056603758E-2</v>
      </c>
      <c r="K55" s="4">
        <v>0</v>
      </c>
      <c r="L55" s="4">
        <v>0</v>
      </c>
      <c r="M55" s="4">
        <v>0</v>
      </c>
    </row>
    <row r="56" spans="1:13" x14ac:dyDescent="0.35">
      <c r="A56" s="6"/>
      <c r="B56" s="2" t="s">
        <v>106</v>
      </c>
      <c r="C56" s="4">
        <v>0</v>
      </c>
      <c r="D56" s="4">
        <v>1.2048192771084338E-2</v>
      </c>
      <c r="E56" s="4">
        <v>1.0752688172043012E-2</v>
      </c>
      <c r="F56" s="4">
        <v>1.1363636363636364E-2</v>
      </c>
      <c r="G56" s="4">
        <v>1.2500000000000001E-2</v>
      </c>
      <c r="H56" s="4">
        <v>2.8571428571428571E-2</v>
      </c>
      <c r="I56" s="4">
        <v>0</v>
      </c>
      <c r="J56" s="4">
        <v>0</v>
      </c>
      <c r="K56" s="4">
        <v>2.777777777777778E-2</v>
      </c>
      <c r="L56" s="4">
        <v>1.6129032258064516E-2</v>
      </c>
      <c r="M56" s="4">
        <v>3.6363636363636362E-2</v>
      </c>
    </row>
    <row r="57" spans="1:13" x14ac:dyDescent="0.35">
      <c r="A57" s="6"/>
      <c r="B57" s="2" t="s">
        <v>107</v>
      </c>
      <c r="C57" s="4">
        <v>0</v>
      </c>
      <c r="D57" s="4"/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2.7027027027027029E-2</v>
      </c>
      <c r="M57" s="4">
        <v>3.8461538461538464E-2</v>
      </c>
    </row>
    <row r="58" spans="1:13" x14ac:dyDescent="0.35">
      <c r="A58" s="6"/>
      <c r="B58" s="2" t="s">
        <v>13</v>
      </c>
      <c r="C58" s="4">
        <v>6.2111801242236021E-3</v>
      </c>
      <c r="D58" s="4">
        <v>0</v>
      </c>
      <c r="E58" s="4">
        <v>3.5928143712574849E-2</v>
      </c>
      <c r="F58" s="4">
        <v>1.8867924528301886E-2</v>
      </c>
      <c r="G58" s="4">
        <v>2.8901734104046242E-2</v>
      </c>
      <c r="H58" s="4">
        <v>1.7543859649122806E-2</v>
      </c>
      <c r="I58" s="4">
        <v>5.128205128205128E-2</v>
      </c>
      <c r="J58" s="4">
        <v>1.1428571428571423E-2</v>
      </c>
      <c r="K58" s="4">
        <v>2.9411764705882356E-2</v>
      </c>
      <c r="L58" s="4">
        <v>3.825136612021858E-2</v>
      </c>
      <c r="M58" s="4">
        <v>4.142011834319527E-2</v>
      </c>
    </row>
    <row r="59" spans="1:13" x14ac:dyDescent="0.35">
      <c r="A59" s="6"/>
      <c r="B59" s="2" t="s">
        <v>14</v>
      </c>
      <c r="C59" s="4">
        <v>8.3736230872750832E-3</v>
      </c>
      <c r="D59" s="4">
        <v>8.95662716183784E-3</v>
      </c>
      <c r="E59" s="4">
        <v>8.4136813775443544E-3</v>
      </c>
      <c r="F59" s="4">
        <v>1.1569590022555393E-2</v>
      </c>
      <c r="G59" s="4">
        <v>1.3656482780956493E-2</v>
      </c>
      <c r="H59" s="4">
        <v>1.8357953329051595E-2</v>
      </c>
      <c r="I59" s="4">
        <v>1.9557413063280286E-2</v>
      </c>
      <c r="J59" s="4">
        <v>1.7307692307692316E-2</v>
      </c>
      <c r="K59" s="4">
        <v>2.0258132272061465E-2</v>
      </c>
      <c r="L59" s="4">
        <v>2.6374506550718005E-2</v>
      </c>
      <c r="M59" s="4">
        <v>2.6160683329656129E-2</v>
      </c>
    </row>
    <row r="60" spans="1:13" x14ac:dyDescent="0.35">
      <c r="A60" s="6"/>
      <c r="B60" s="2" t="s">
        <v>15</v>
      </c>
      <c r="C60" s="4">
        <v>4.9751243781094526E-3</v>
      </c>
      <c r="D60" s="4">
        <v>1.3513513513513514E-2</v>
      </c>
      <c r="E60" s="4">
        <v>1.015228426395939E-2</v>
      </c>
      <c r="F60" s="4">
        <v>1.5706806282722512E-2</v>
      </c>
      <c r="G60" s="4">
        <v>1.4423076923076924E-2</v>
      </c>
      <c r="H60" s="4">
        <v>5.3763440860215055E-2</v>
      </c>
      <c r="I60" s="4">
        <v>7.6433121019108277E-2</v>
      </c>
      <c r="J60" s="4">
        <v>3.3898305084745749E-2</v>
      </c>
      <c r="K60" s="4">
        <v>3.2258064516129024E-2</v>
      </c>
      <c r="L60" s="4">
        <v>7.8014184397163122E-2</v>
      </c>
      <c r="M60" s="4">
        <v>0.10596026490066225</v>
      </c>
    </row>
    <row r="61" spans="1:13" x14ac:dyDescent="0.35">
      <c r="A61" s="6"/>
      <c r="B61" s="2" t="s">
        <v>108</v>
      </c>
      <c r="C61" s="4">
        <v>2.7027027027027029E-3</v>
      </c>
      <c r="D61" s="4">
        <v>0</v>
      </c>
      <c r="E61" s="4">
        <v>0</v>
      </c>
      <c r="F61" s="4">
        <v>0</v>
      </c>
      <c r="G61" s="4">
        <v>3.3557046979865771E-3</v>
      </c>
      <c r="H61" s="4">
        <v>9.1463414634146336E-3</v>
      </c>
      <c r="I61" s="4">
        <v>0</v>
      </c>
      <c r="J61" s="4">
        <v>0</v>
      </c>
      <c r="K61" s="4">
        <v>0</v>
      </c>
      <c r="L61" s="4">
        <v>0</v>
      </c>
      <c r="M61" s="4">
        <v>6.4724919093851136E-3</v>
      </c>
    </row>
    <row r="62" spans="1:13" x14ac:dyDescent="0.35">
      <c r="A62" s="6"/>
      <c r="B62" s="2" t="s">
        <v>109</v>
      </c>
      <c r="C62" s="4">
        <v>0</v>
      </c>
      <c r="D62" s="4">
        <v>0</v>
      </c>
      <c r="E62" s="4">
        <v>5.2631578947368418E-2</v>
      </c>
      <c r="F62" s="4">
        <v>1.7857142857142856E-2</v>
      </c>
      <c r="G62" s="4">
        <v>0</v>
      </c>
      <c r="H62" s="4">
        <v>1.8518518518518517E-2</v>
      </c>
      <c r="I62" s="4">
        <v>1.6949152542372881E-2</v>
      </c>
      <c r="J62" s="4">
        <v>1.428571428571428E-2</v>
      </c>
      <c r="K62" s="4">
        <v>0</v>
      </c>
      <c r="L62" s="4">
        <v>0</v>
      </c>
      <c r="M62" s="4">
        <v>4.6153846153846156E-2</v>
      </c>
    </row>
    <row r="63" spans="1:13" x14ac:dyDescent="0.35">
      <c r="A63" s="6"/>
      <c r="B63" s="2" t="s">
        <v>16</v>
      </c>
      <c r="C63" s="4">
        <v>9.2242934455802769E-2</v>
      </c>
      <c r="D63" s="4">
        <v>3.403366506941885E-2</v>
      </c>
      <c r="E63" s="4">
        <v>3.5009085402786189E-2</v>
      </c>
      <c r="F63" s="4">
        <v>3.9185690750764883E-2</v>
      </c>
      <c r="G63" s="4">
        <v>4.7211321203472469E-2</v>
      </c>
      <c r="H63" s="4">
        <v>5.2968767875529114E-2</v>
      </c>
      <c r="I63" s="4">
        <v>4.6534437663469923E-2</v>
      </c>
      <c r="J63" s="4">
        <v>4.3923342459231046E-2</v>
      </c>
      <c r="K63" s="4">
        <v>5.9589710192119831E-2</v>
      </c>
      <c r="L63" s="4">
        <v>6.1029810298102984E-2</v>
      </c>
      <c r="M63" s="4">
        <v>6.9126378286683623E-2</v>
      </c>
    </row>
    <row r="64" spans="1:13" x14ac:dyDescent="0.35">
      <c r="A64" s="6"/>
      <c r="B64" s="2" t="s">
        <v>110</v>
      </c>
      <c r="C64" s="4">
        <v>0</v>
      </c>
      <c r="D64" s="4">
        <v>8.2987551867219917E-3</v>
      </c>
      <c r="E64" s="4">
        <v>1.4999999999999999E-2</v>
      </c>
      <c r="F64" s="4">
        <v>1.9704433497536946E-2</v>
      </c>
      <c r="G64" s="4">
        <v>5.0505050505050509E-3</v>
      </c>
      <c r="H64" s="4">
        <v>5.0251256281407036E-3</v>
      </c>
      <c r="I64" s="4">
        <v>4.8780487804878049E-3</v>
      </c>
      <c r="J64" s="4">
        <v>2.1857923497267763E-2</v>
      </c>
      <c r="K64" s="4">
        <v>1.4925373134328356E-2</v>
      </c>
      <c r="L64" s="4">
        <v>2.1276595744680851E-2</v>
      </c>
      <c r="M64" s="4">
        <v>2.7472527472527472E-2</v>
      </c>
    </row>
    <row r="65" spans="1:13" x14ac:dyDescent="0.35">
      <c r="A65" s="6"/>
      <c r="B65" s="2" t="s">
        <v>111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9.0909090909090912E-2</v>
      </c>
      <c r="M65" s="4">
        <v>4.7619047619047616E-2</v>
      </c>
    </row>
    <row r="66" spans="1:13" x14ac:dyDescent="0.35">
      <c r="A66" s="6"/>
      <c r="B66" s="2" t="s">
        <v>112</v>
      </c>
      <c r="C66" s="4">
        <v>4.7169811320754715E-3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</row>
    <row r="67" spans="1:13" x14ac:dyDescent="0.35">
      <c r="A67" s="6"/>
      <c r="B67" s="2" t="s">
        <v>113</v>
      </c>
      <c r="C67" s="4">
        <v>0</v>
      </c>
      <c r="D67" s="4">
        <v>3.7735849056603772E-2</v>
      </c>
      <c r="E67" s="4">
        <v>0</v>
      </c>
      <c r="F67" s="4">
        <v>2.5000000000000001E-2</v>
      </c>
      <c r="G67" s="4">
        <v>2.5000000000000001E-2</v>
      </c>
      <c r="H67" s="4">
        <v>0</v>
      </c>
      <c r="I67" s="4">
        <v>0</v>
      </c>
      <c r="J67" s="4">
        <v>5.2631578947368411E-2</v>
      </c>
      <c r="K67" s="4">
        <v>8.510638297872343E-2</v>
      </c>
      <c r="L67" s="4">
        <v>4.878048780487805E-2</v>
      </c>
      <c r="M67" s="4">
        <v>2.2727272727272728E-2</v>
      </c>
    </row>
    <row r="68" spans="1:13" x14ac:dyDescent="0.35">
      <c r="A68" s="6"/>
      <c r="B68" s="2" t="s">
        <v>114</v>
      </c>
      <c r="C68" s="4">
        <v>0</v>
      </c>
      <c r="D68" s="4">
        <v>0</v>
      </c>
      <c r="E68" s="4">
        <v>0</v>
      </c>
      <c r="F68" s="4">
        <v>0</v>
      </c>
      <c r="G68" s="4">
        <v>5.3475935828877002E-3</v>
      </c>
      <c r="H68" s="4">
        <v>0</v>
      </c>
      <c r="I68" s="4">
        <v>1.2578616352201259E-2</v>
      </c>
      <c r="J68" s="4">
        <v>6.7567567567567589E-3</v>
      </c>
      <c r="K68" s="4">
        <v>2.4242424242424242E-2</v>
      </c>
      <c r="L68" s="4">
        <v>1.3333333333333334E-2</v>
      </c>
      <c r="M68" s="4">
        <v>1.5625E-2</v>
      </c>
    </row>
    <row r="69" spans="1:13" x14ac:dyDescent="0.35">
      <c r="A69" s="6"/>
      <c r="B69" s="2" t="s">
        <v>17</v>
      </c>
      <c r="C69" s="4">
        <v>2.2421524663677129E-2</v>
      </c>
      <c r="D69" s="4">
        <v>8.7336244541484712E-3</v>
      </c>
      <c r="E69" s="4">
        <v>2.8037383177570093E-2</v>
      </c>
      <c r="F69" s="4">
        <v>2.9850746268656716E-2</v>
      </c>
      <c r="G69" s="4">
        <v>5.5555555555555552E-2</v>
      </c>
      <c r="H69" s="4">
        <v>4.9261083743842367E-2</v>
      </c>
      <c r="I69" s="4">
        <v>2.5125628140703519E-2</v>
      </c>
      <c r="J69" s="4">
        <v>0.03</v>
      </c>
      <c r="K69" s="4">
        <v>3.9408866995073885E-2</v>
      </c>
      <c r="L69" s="4">
        <v>2.7906976744186046E-2</v>
      </c>
      <c r="M69" s="4">
        <v>3.2786885245901641E-2</v>
      </c>
    </row>
    <row r="70" spans="1:13" x14ac:dyDescent="0.35">
      <c r="A70" s="6"/>
      <c r="B70" s="2" t="s">
        <v>18</v>
      </c>
      <c r="C70" s="4">
        <v>8.5531004989308629E-3</v>
      </c>
      <c r="D70" s="4">
        <v>9.0331214452994309E-3</v>
      </c>
      <c r="E70" s="4">
        <v>1.1532738095238096E-2</v>
      </c>
      <c r="F70" s="4">
        <v>1.0633946830265849E-2</v>
      </c>
      <c r="G70" s="4">
        <v>8.2120194102276965E-3</v>
      </c>
      <c r="H70" s="4">
        <v>1.3167259786476869E-2</v>
      </c>
      <c r="I70" s="4">
        <v>1.1159959418329387E-2</v>
      </c>
      <c r="J70" s="4">
        <v>1.2687427912341408E-2</v>
      </c>
      <c r="K70" s="4">
        <v>2.0698051948051945E-2</v>
      </c>
      <c r="L70" s="4">
        <v>2.2285251215559156E-2</v>
      </c>
      <c r="M70" s="4">
        <v>2.1803399852180341E-2</v>
      </c>
    </row>
    <row r="71" spans="1:13" x14ac:dyDescent="0.35">
      <c r="A71" s="6"/>
      <c r="B71" s="2" t="s">
        <v>115</v>
      </c>
      <c r="C71" s="4">
        <v>0</v>
      </c>
      <c r="D71" s="4">
        <v>0</v>
      </c>
      <c r="E71" s="4">
        <v>0</v>
      </c>
      <c r="F71" s="4">
        <v>2.2727272727272728E-2</v>
      </c>
      <c r="G71" s="4">
        <v>0</v>
      </c>
      <c r="H71" s="4">
        <v>2.0833333333333332E-2</v>
      </c>
      <c r="I71" s="4">
        <v>4.2553191489361701E-2</v>
      </c>
      <c r="J71" s="4">
        <v>5.4054054054054064E-2</v>
      </c>
      <c r="K71" s="4">
        <v>2.857142857142856E-2</v>
      </c>
      <c r="L71" s="4">
        <v>2.6315789473684209E-2</v>
      </c>
      <c r="M71" s="4">
        <v>3.5714285714285712E-2</v>
      </c>
    </row>
    <row r="72" spans="1:13" x14ac:dyDescent="0.35">
      <c r="A72" s="6"/>
      <c r="B72" s="2" t="s">
        <v>19</v>
      </c>
      <c r="C72" s="4">
        <v>1.0966693744922826E-2</v>
      </c>
      <c r="D72" s="4">
        <v>1.1529468676933E-2</v>
      </c>
      <c r="E72" s="4">
        <v>1.1433817392755801E-2</v>
      </c>
      <c r="F72" s="4">
        <v>3.8161318300086729E-3</v>
      </c>
      <c r="G72" s="4">
        <v>5.3662691652470191E-3</v>
      </c>
      <c r="H72" s="4">
        <v>6.2965590634976943E-3</v>
      </c>
      <c r="I72" s="4">
        <v>7.4428495481127059E-3</v>
      </c>
      <c r="J72" s="4">
        <v>2.282413107301828E-2</v>
      </c>
      <c r="K72" s="4">
        <v>3.7488015340364327E-2</v>
      </c>
      <c r="L72" s="4">
        <v>9.8883884863912273E-3</v>
      </c>
      <c r="M72" s="4">
        <v>1.3764274061990212E-2</v>
      </c>
    </row>
    <row r="73" spans="1:13" x14ac:dyDescent="0.35">
      <c r="A73" s="6"/>
      <c r="B73" s="2" t="s">
        <v>116</v>
      </c>
      <c r="C73" s="4">
        <v>1.2928022361984625E-2</v>
      </c>
      <c r="D73" s="4">
        <v>1.7521902377972465E-2</v>
      </c>
      <c r="E73" s="4">
        <v>1.6059957173447537E-2</v>
      </c>
      <c r="F73" s="4">
        <v>1.9266394961096701E-2</v>
      </c>
      <c r="G73" s="4">
        <v>2.8264758497316637E-2</v>
      </c>
      <c r="H73" s="4">
        <v>2.8995512599240592E-2</v>
      </c>
      <c r="I73" s="4">
        <v>3.4011337112370789E-2</v>
      </c>
      <c r="J73" s="4">
        <v>2.8040540540540539E-2</v>
      </c>
      <c r="K73" s="4">
        <v>3.9974210186976125E-2</v>
      </c>
      <c r="L73" s="4">
        <v>5.1999999999999998E-2</v>
      </c>
      <c r="M73" s="4">
        <v>5.8899259736079818E-2</v>
      </c>
    </row>
    <row r="74" spans="1:13" x14ac:dyDescent="0.35">
      <c r="A74" s="6"/>
      <c r="B74" s="2" t="s">
        <v>20</v>
      </c>
      <c r="C74" s="4">
        <v>9.7087378640776691E-3</v>
      </c>
      <c r="D74" s="4">
        <v>7.1090047393364926E-3</v>
      </c>
      <c r="E74" s="4">
        <v>9.5238095238095247E-3</v>
      </c>
      <c r="F74" s="4">
        <v>1.1682242990654205E-2</v>
      </c>
      <c r="G74" s="4">
        <v>2.3148148148148147E-2</v>
      </c>
      <c r="H74" s="4">
        <v>1.5555555555555555E-2</v>
      </c>
      <c r="I74" s="4">
        <v>2.8340080971659919E-2</v>
      </c>
      <c r="J74" s="4">
        <v>2.3094688221709014E-2</v>
      </c>
      <c r="K74" s="4">
        <v>2.5700934579439255E-2</v>
      </c>
      <c r="L74" s="4">
        <v>4.807692307692308E-2</v>
      </c>
      <c r="M74" s="4">
        <v>5.627705627705628E-2</v>
      </c>
    </row>
    <row r="75" spans="1:13" x14ac:dyDescent="0.35">
      <c r="A75" s="6"/>
      <c r="B75" s="2" t="s">
        <v>117</v>
      </c>
      <c r="C75" s="4">
        <v>0</v>
      </c>
      <c r="D75" s="4">
        <v>0</v>
      </c>
      <c r="E75" s="4">
        <v>1.1235955056179775E-2</v>
      </c>
      <c r="F75" s="4">
        <v>1.2422360248447204E-2</v>
      </c>
      <c r="G75" s="4">
        <v>5.7142857142857143E-3</v>
      </c>
      <c r="H75" s="4">
        <v>6.5359477124183009E-3</v>
      </c>
      <c r="I75" s="4">
        <v>1.6666666666666666E-2</v>
      </c>
      <c r="J75" s="4">
        <v>5.8479532163742695E-3</v>
      </c>
      <c r="K75" s="4">
        <v>5.5865921787709508E-3</v>
      </c>
      <c r="L75" s="4">
        <v>3.954802259887006E-2</v>
      </c>
      <c r="M75" s="4">
        <v>2.9411764705882353E-2</v>
      </c>
    </row>
    <row r="76" spans="1:13" x14ac:dyDescent="0.35">
      <c r="A76" s="6"/>
      <c r="B76" s="2" t="s">
        <v>21</v>
      </c>
      <c r="C76" s="4">
        <v>1.2048192771084338E-2</v>
      </c>
      <c r="D76" s="4">
        <v>1.5673981191222569E-2</v>
      </c>
      <c r="E76" s="4">
        <v>1.0840108401084011E-2</v>
      </c>
      <c r="F76" s="4">
        <v>3.0927835051546393E-2</v>
      </c>
      <c r="G76" s="4">
        <v>2.6229508196721311E-2</v>
      </c>
      <c r="H76" s="4">
        <v>4.2666666666666665E-2</v>
      </c>
      <c r="I76" s="4">
        <v>3.9119804400977995E-2</v>
      </c>
      <c r="J76" s="4">
        <v>3.0379746835443047E-2</v>
      </c>
      <c r="K76" s="4">
        <v>3.6458333333333343E-2</v>
      </c>
      <c r="L76" s="4">
        <v>7.1808510638297879E-2</v>
      </c>
      <c r="M76" s="4">
        <v>5.0531914893617018E-2</v>
      </c>
    </row>
    <row r="77" spans="1:13" x14ac:dyDescent="0.35">
      <c r="A77" s="6"/>
      <c r="B77" s="2" t="s">
        <v>118</v>
      </c>
      <c r="C77" s="4">
        <v>6.7114093959731542E-3</v>
      </c>
      <c r="D77" s="4">
        <v>3.2786885245901639E-3</v>
      </c>
      <c r="E77" s="4">
        <v>1.0526315789473684E-2</v>
      </c>
      <c r="F77" s="4">
        <v>1.3245033112582781E-2</v>
      </c>
      <c r="G77" s="4">
        <v>0</v>
      </c>
      <c r="H77" s="4">
        <v>1.4598540145985401E-2</v>
      </c>
      <c r="I77" s="4">
        <v>1.4285714285714285E-2</v>
      </c>
      <c r="J77" s="4">
        <v>1.0676156583629892E-2</v>
      </c>
      <c r="K77" s="4">
        <v>1.428571428571428E-2</v>
      </c>
      <c r="L77" s="4">
        <v>2.2058823529411766E-2</v>
      </c>
      <c r="M77" s="4">
        <v>1.7316017316017316E-2</v>
      </c>
    </row>
    <row r="78" spans="1:13" x14ac:dyDescent="0.35">
      <c r="A78" s="6"/>
      <c r="B78" s="2" t="s">
        <v>119</v>
      </c>
      <c r="C78" s="4">
        <v>0</v>
      </c>
      <c r="D78" s="4"/>
      <c r="E78" s="4">
        <v>0</v>
      </c>
      <c r="F78" s="4">
        <v>0</v>
      </c>
      <c r="G78" s="4">
        <v>0</v>
      </c>
      <c r="H78" s="4">
        <v>2.3255813953488372E-2</v>
      </c>
      <c r="I78" s="4">
        <v>0</v>
      </c>
      <c r="J78" s="4">
        <v>0</v>
      </c>
      <c r="K78" s="4">
        <v>2.7027027027027032E-2</v>
      </c>
      <c r="L78" s="4">
        <v>2.8571428571428571E-2</v>
      </c>
      <c r="M78" s="4">
        <v>2.2727272727272728E-2</v>
      </c>
    </row>
    <row r="79" spans="1:13" x14ac:dyDescent="0.35">
      <c r="A79" s="6"/>
      <c r="B79" s="2" t="s">
        <v>120</v>
      </c>
      <c r="C79" s="4">
        <v>0</v>
      </c>
      <c r="D79" s="4">
        <v>0</v>
      </c>
      <c r="E79" s="4">
        <v>2.247191011235955E-2</v>
      </c>
      <c r="F79" s="4">
        <v>1.1235955056179775E-2</v>
      </c>
      <c r="G79" s="4">
        <v>0</v>
      </c>
      <c r="H79" s="4">
        <v>0</v>
      </c>
      <c r="I79" s="4">
        <v>0</v>
      </c>
      <c r="J79" s="4">
        <v>3.7499999999999999E-2</v>
      </c>
      <c r="K79" s="4">
        <v>1.4705882352941178E-2</v>
      </c>
      <c r="L79" s="4">
        <v>0</v>
      </c>
      <c r="M79" s="4">
        <v>4.878048780487805E-2</v>
      </c>
    </row>
    <row r="80" spans="1:13" x14ac:dyDescent="0.35">
      <c r="A80" s="6"/>
      <c r="B80" s="2" t="s">
        <v>121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6.6666666666666666E-2</v>
      </c>
      <c r="M80" s="4">
        <v>0</v>
      </c>
    </row>
    <row r="81" spans="1:13" x14ac:dyDescent="0.35">
      <c r="A81" s="6"/>
      <c r="B81" s="2" t="s">
        <v>22</v>
      </c>
      <c r="C81" s="4">
        <v>9.4620167612868341E-3</v>
      </c>
      <c r="D81" s="4">
        <v>8.2272785705103484E-3</v>
      </c>
      <c r="E81" s="4">
        <v>8.1669691470054439E-3</v>
      </c>
      <c r="F81" s="4">
        <v>9.3567251461988306E-3</v>
      </c>
      <c r="G81" s="4">
        <v>9.7548453343601592E-3</v>
      </c>
      <c r="H81" s="4">
        <v>1.3597804391217565E-2</v>
      </c>
      <c r="I81" s="4">
        <v>7.675701607100024E-3</v>
      </c>
      <c r="J81" s="4">
        <v>8.9115213239974542E-3</v>
      </c>
      <c r="K81" s="4">
        <v>1.1764705882352939E-2</v>
      </c>
      <c r="L81" s="4">
        <v>1.7020089285714284E-2</v>
      </c>
      <c r="M81" s="4">
        <v>1.8199704869650762E-2</v>
      </c>
    </row>
    <row r="82" spans="1:13" x14ac:dyDescent="0.35">
      <c r="A82" s="6"/>
      <c r="B82" s="2" t="s">
        <v>122</v>
      </c>
      <c r="C82" s="4">
        <v>6.7567567567567571E-3</v>
      </c>
      <c r="D82" s="4">
        <v>1.4388489208633094E-2</v>
      </c>
      <c r="E82" s="4">
        <v>2.2727272727272728E-2</v>
      </c>
      <c r="F82" s="4">
        <v>2.4590163934426229E-2</v>
      </c>
      <c r="G82" s="4">
        <v>0</v>
      </c>
      <c r="H82" s="4">
        <v>2.1505376344086023E-2</v>
      </c>
      <c r="I82" s="4">
        <v>9.8039215686274508E-3</v>
      </c>
      <c r="J82" s="4">
        <v>0</v>
      </c>
      <c r="K82" s="4">
        <v>0</v>
      </c>
      <c r="L82" s="4">
        <v>3.1578947368421054E-2</v>
      </c>
      <c r="M82" s="4">
        <v>4.7619047619047616E-2</v>
      </c>
    </row>
    <row r="83" spans="1:13" x14ac:dyDescent="0.35">
      <c r="A83" s="6"/>
      <c r="B83" s="2" t="s">
        <v>123</v>
      </c>
      <c r="C83" s="4">
        <v>1.7123287671232876E-2</v>
      </c>
      <c r="D83" s="4">
        <v>1.509433962264151E-2</v>
      </c>
      <c r="E83" s="4">
        <v>1.2500000000000001E-2</v>
      </c>
      <c r="F83" s="4">
        <v>1.9083969465648856E-2</v>
      </c>
      <c r="G83" s="4">
        <v>2.553191489361702E-2</v>
      </c>
      <c r="H83" s="4">
        <v>2.9739776951672861E-2</v>
      </c>
      <c r="I83" s="4">
        <v>2.1459227467811159E-2</v>
      </c>
      <c r="J83" s="4">
        <v>4.8582995951417005E-2</v>
      </c>
      <c r="K83" s="4">
        <v>2.777777777777778E-2</v>
      </c>
      <c r="L83" s="4">
        <v>5.8091286307053944E-2</v>
      </c>
      <c r="M83" s="4">
        <v>7.4889867841409691E-2</v>
      </c>
    </row>
    <row r="84" spans="1:13" x14ac:dyDescent="0.35">
      <c r="A84" s="6"/>
      <c r="B84" s="2" t="s">
        <v>124</v>
      </c>
      <c r="C84" s="4">
        <v>3.5971223021582736E-3</v>
      </c>
      <c r="D84" s="4">
        <v>4.0983606557377051E-3</v>
      </c>
      <c r="E84" s="4">
        <v>0</v>
      </c>
      <c r="F84" s="4">
        <v>0</v>
      </c>
      <c r="G84" s="4">
        <v>4.6728971962616819E-3</v>
      </c>
      <c r="H84" s="4">
        <v>0</v>
      </c>
      <c r="I84" s="4">
        <v>1.4018691588785047E-2</v>
      </c>
      <c r="J84" s="4">
        <v>4.8309178743961342E-3</v>
      </c>
      <c r="K84" s="4">
        <v>0</v>
      </c>
      <c r="L84" s="4">
        <v>1.4354066985645933E-2</v>
      </c>
      <c r="M84" s="4">
        <v>5.076142131979695E-3</v>
      </c>
    </row>
    <row r="85" spans="1:13" x14ac:dyDescent="0.35">
      <c r="A85" s="6"/>
      <c r="B85" s="2" t="s">
        <v>23</v>
      </c>
      <c r="C85" s="4">
        <v>7.4468085106382975E-2</v>
      </c>
      <c r="D85" s="4">
        <v>9.6885813148788927E-2</v>
      </c>
      <c r="E85" s="4">
        <v>8.6206896551724144E-2</v>
      </c>
      <c r="F85" s="4">
        <v>0.13090909090909092</v>
      </c>
      <c r="G85" s="4">
        <v>0.18215613382899629</v>
      </c>
      <c r="H85" s="4">
        <v>0.16988416988416988</v>
      </c>
      <c r="I85" s="4">
        <v>0.18840579710144928</v>
      </c>
      <c r="J85" s="4">
        <v>0.18450184501845016</v>
      </c>
      <c r="K85" s="4">
        <v>0.16190476190476188</v>
      </c>
      <c r="L85" s="4">
        <v>0.1796875</v>
      </c>
      <c r="M85" s="4">
        <v>0.17622950819672131</v>
      </c>
    </row>
    <row r="86" spans="1:13" x14ac:dyDescent="0.35">
      <c r="A86" s="6"/>
      <c r="B86" s="2" t="s">
        <v>125</v>
      </c>
      <c r="C86" s="4">
        <v>1.7672790901137356E-2</v>
      </c>
      <c r="D86" s="4">
        <v>1.8736988202637056E-2</v>
      </c>
      <c r="E86" s="4">
        <v>1.5473558918551266E-2</v>
      </c>
      <c r="F86" s="4">
        <v>1.8081625624246599E-2</v>
      </c>
      <c r="G86" s="4">
        <v>2.3421992854307266E-2</v>
      </c>
      <c r="H86" s="4">
        <v>2.3997257456290711E-2</v>
      </c>
      <c r="I86" s="4">
        <v>2.3746263699767518E-2</v>
      </c>
      <c r="J86" s="4">
        <v>2.4582809976673243E-2</v>
      </c>
      <c r="K86" s="4">
        <v>2.7252213157437945E-2</v>
      </c>
      <c r="L86" s="4">
        <v>3.8214220099209995E-2</v>
      </c>
      <c r="M86" s="4">
        <v>4.3199396340313147E-2</v>
      </c>
    </row>
    <row r="87" spans="1:13" x14ac:dyDescent="0.35">
      <c r="A87" s="6"/>
      <c r="B87" s="2" t="s">
        <v>24</v>
      </c>
      <c r="C87" s="4">
        <v>0</v>
      </c>
      <c r="D87" s="4">
        <v>1.1111111111111112E-2</v>
      </c>
      <c r="E87" s="4">
        <v>1.8181818181818181E-2</v>
      </c>
      <c r="F87" s="4">
        <v>0</v>
      </c>
      <c r="G87" s="4">
        <v>0</v>
      </c>
      <c r="H87" s="4">
        <v>2.1276595744680851E-2</v>
      </c>
      <c r="I87" s="4">
        <v>3.0303030303030304E-2</v>
      </c>
      <c r="J87" s="4">
        <v>3.9215686274509803E-2</v>
      </c>
      <c r="K87" s="4">
        <v>3.6363636363636369E-2</v>
      </c>
      <c r="L87" s="4">
        <v>0.05</v>
      </c>
      <c r="M87" s="4">
        <v>2.8571428571428571E-2</v>
      </c>
    </row>
    <row r="88" spans="1:13" x14ac:dyDescent="0.35">
      <c r="A88" s="6"/>
      <c r="B88" s="2" t="s">
        <v>126</v>
      </c>
      <c r="C88" s="4">
        <v>1.0344827586206896E-2</v>
      </c>
      <c r="D88" s="4">
        <v>1.7793594306049824E-2</v>
      </c>
      <c r="E88" s="4">
        <v>2.0080321285140562E-2</v>
      </c>
      <c r="F88" s="4">
        <v>2.4193548387096774E-2</v>
      </c>
      <c r="G88" s="4">
        <v>5.9523809523809521E-2</v>
      </c>
      <c r="H88" s="4">
        <v>9.6774193548387094E-2</v>
      </c>
      <c r="I88" s="4">
        <v>6.1643835616438353E-2</v>
      </c>
      <c r="J88" s="4">
        <v>4.5614035087719294E-2</v>
      </c>
      <c r="K88" s="4">
        <v>7.9136690647482022E-2</v>
      </c>
      <c r="L88" s="4">
        <v>6.4935064935064929E-2</v>
      </c>
      <c r="M88" s="4">
        <v>4.9586776859504134E-2</v>
      </c>
    </row>
    <row r="89" spans="1:13" x14ac:dyDescent="0.35">
      <c r="A89" s="6"/>
      <c r="B89" s="2" t="s">
        <v>127</v>
      </c>
      <c r="C89" s="4">
        <v>0</v>
      </c>
      <c r="D89" s="4">
        <v>0</v>
      </c>
      <c r="E89" s="4">
        <v>0</v>
      </c>
      <c r="F89" s="4">
        <v>0</v>
      </c>
      <c r="G89" s="4">
        <v>4.3478260869565216E-2</v>
      </c>
      <c r="H89" s="4">
        <v>0.05</v>
      </c>
      <c r="I89" s="4">
        <v>0.05</v>
      </c>
      <c r="J89" s="4">
        <v>0.08</v>
      </c>
      <c r="K89" s="4">
        <v>6.6666666666666652E-2</v>
      </c>
      <c r="L89" s="4">
        <v>0.08</v>
      </c>
      <c r="M89" s="4">
        <v>5.5555555555555552E-2</v>
      </c>
    </row>
    <row r="90" spans="1:13" x14ac:dyDescent="0.35">
      <c r="A90" s="6"/>
      <c r="B90" s="2" t="s">
        <v>128</v>
      </c>
      <c r="C90" s="4">
        <v>9.9009900990099011E-3</v>
      </c>
      <c r="D90" s="4">
        <v>0</v>
      </c>
      <c r="E90" s="4">
        <v>1.1363636363636364E-2</v>
      </c>
      <c r="F90" s="4">
        <v>0</v>
      </c>
      <c r="G90" s="4">
        <v>1.3698630136986301E-2</v>
      </c>
      <c r="H90" s="4">
        <v>2.0833333333333332E-2</v>
      </c>
      <c r="I90" s="4">
        <v>2.564102564102564E-2</v>
      </c>
      <c r="J90" s="4">
        <v>2.3255813953488375E-2</v>
      </c>
      <c r="K90" s="4">
        <v>4.8192771084337345E-2</v>
      </c>
      <c r="L90" s="4">
        <v>1.0752688172043012E-2</v>
      </c>
      <c r="M90" s="4">
        <v>6.7567567567567571E-2</v>
      </c>
    </row>
    <row r="91" spans="1:13" x14ac:dyDescent="0.35">
      <c r="A91" s="6"/>
      <c r="B91" s="2" t="s">
        <v>129</v>
      </c>
      <c r="C91" s="4">
        <v>3.1446540880503146E-3</v>
      </c>
      <c r="D91" s="4">
        <v>0</v>
      </c>
      <c r="E91" s="4">
        <v>6.6006600660066007E-3</v>
      </c>
      <c r="F91" s="4">
        <v>3.4013605442176869E-3</v>
      </c>
      <c r="G91" s="4">
        <v>1.1111111111111112E-2</v>
      </c>
      <c r="H91" s="4">
        <v>9.8684210526315784E-3</v>
      </c>
      <c r="I91" s="4">
        <v>1.1583011583011582E-2</v>
      </c>
      <c r="J91" s="4">
        <v>3.4129692832764501E-3</v>
      </c>
      <c r="K91" s="4">
        <v>2.1428571428571436E-2</v>
      </c>
      <c r="L91" s="4">
        <v>1.2295081967213115E-2</v>
      </c>
      <c r="M91" s="4">
        <v>3.8910505836575876E-2</v>
      </c>
    </row>
    <row r="92" spans="1:13" x14ac:dyDescent="0.35">
      <c r="A92" s="6"/>
      <c r="B92" s="2" t="s">
        <v>130</v>
      </c>
      <c r="C92" s="4">
        <v>0</v>
      </c>
      <c r="D92" s="4">
        <v>2.7397260273972603E-3</v>
      </c>
      <c r="E92" s="4">
        <v>3.4364261168384879E-3</v>
      </c>
      <c r="F92" s="4">
        <v>7.4074074074074077E-3</v>
      </c>
      <c r="G92" s="4">
        <v>1.3513513513513514E-2</v>
      </c>
      <c r="H92" s="4">
        <v>1.4814814814814815E-2</v>
      </c>
      <c r="I92" s="4">
        <v>7.0175438596491229E-3</v>
      </c>
      <c r="J92" s="4">
        <v>2.6119402985074619E-2</v>
      </c>
      <c r="K92" s="4">
        <v>2.3622047244094488E-2</v>
      </c>
      <c r="L92" s="4">
        <v>2.8776978417266189E-2</v>
      </c>
      <c r="M92" s="4">
        <v>6.222222222222222E-2</v>
      </c>
    </row>
    <row r="93" spans="1:13" x14ac:dyDescent="0.35">
      <c r="A93" s="6"/>
      <c r="B93" s="2" t="s">
        <v>131</v>
      </c>
      <c r="C93" s="4">
        <v>1.1668611435239206E-2</v>
      </c>
      <c r="D93" s="4">
        <v>1.6414141414141416E-2</v>
      </c>
      <c r="E93" s="4">
        <v>1.9320843091334895E-2</v>
      </c>
      <c r="F93" s="4">
        <v>1.9879518072289156E-2</v>
      </c>
      <c r="G93" s="4">
        <v>1.6831108531630876E-2</v>
      </c>
      <c r="H93" s="4">
        <v>2.9378531073446328E-2</v>
      </c>
      <c r="I93" s="4">
        <v>3.4264628360569323E-2</v>
      </c>
      <c r="J93" s="4">
        <v>3.0491247882552225E-2</v>
      </c>
      <c r="K93" s="4">
        <v>4.1074249605055298E-2</v>
      </c>
      <c r="L93" s="4">
        <v>5.0493962678375415E-2</v>
      </c>
      <c r="M93" s="4">
        <v>5.5789473684210528E-2</v>
      </c>
    </row>
    <row r="94" spans="1:13" x14ac:dyDescent="0.35">
      <c r="A94" s="6"/>
      <c r="B94" s="2" t="s">
        <v>132</v>
      </c>
      <c r="C94" s="4">
        <v>8.1674323634507405E-3</v>
      </c>
      <c r="D94" s="4">
        <v>9.2391304347826091E-3</v>
      </c>
      <c r="E94" s="4">
        <v>1.636904761904762E-2</v>
      </c>
      <c r="F94" s="4">
        <v>8.7358684480986631E-3</v>
      </c>
      <c r="G94" s="4">
        <v>1.6255899318300997E-2</v>
      </c>
      <c r="H94" s="4">
        <v>2.0065075921908895E-2</v>
      </c>
      <c r="I94" s="4">
        <v>2.1995708154506438E-2</v>
      </c>
      <c r="J94" s="4">
        <v>2.0539906103286393E-2</v>
      </c>
      <c r="K94" s="4">
        <v>2.9741863075196408E-2</v>
      </c>
      <c r="L94" s="4">
        <v>3.633114949374628E-2</v>
      </c>
      <c r="M94" s="4">
        <v>4.5398009950248758E-2</v>
      </c>
    </row>
    <row r="95" spans="1:13" x14ac:dyDescent="0.35">
      <c r="A95" s="6"/>
      <c r="B95" s="2" t="s">
        <v>133</v>
      </c>
      <c r="C95" s="4">
        <v>8.8495575221238937E-3</v>
      </c>
      <c r="D95" s="4">
        <v>3.0674846625766872E-3</v>
      </c>
      <c r="E95" s="4">
        <v>2.5559105431309903E-2</v>
      </c>
      <c r="F95" s="4">
        <v>1.4970059880239521E-2</v>
      </c>
      <c r="G95" s="4">
        <v>1.3245033112582781E-2</v>
      </c>
      <c r="H95" s="4">
        <v>2.20125786163522E-2</v>
      </c>
      <c r="I95" s="4">
        <v>2.1148036253776436E-2</v>
      </c>
      <c r="J95" s="4">
        <v>3.2467532467532458E-2</v>
      </c>
      <c r="K95" s="4">
        <v>2.8985507246376808E-2</v>
      </c>
      <c r="L95" s="4">
        <v>4.0268456375838924E-2</v>
      </c>
      <c r="M95" s="4">
        <v>4.4776119402985072E-2</v>
      </c>
    </row>
    <row r="96" spans="1:13" x14ac:dyDescent="0.35">
      <c r="A96" s="6"/>
      <c r="B96" s="2" t="s">
        <v>134</v>
      </c>
      <c r="C96" s="4">
        <v>1.1808910359634998E-2</v>
      </c>
      <c r="D96" s="4">
        <v>1.3255567338282079E-2</v>
      </c>
      <c r="E96" s="4">
        <v>1.5343915343915344E-2</v>
      </c>
      <c r="F96" s="4">
        <v>1.5659955257270694E-2</v>
      </c>
      <c r="G96" s="4">
        <v>1.6747703943814155E-2</v>
      </c>
      <c r="H96" s="4">
        <v>1.7136539524599224E-2</v>
      </c>
      <c r="I96" s="4">
        <v>1.8577494692144373E-2</v>
      </c>
      <c r="J96" s="4">
        <v>1.8126888217522657E-2</v>
      </c>
      <c r="K96" s="4">
        <v>2.4151811385853945E-2</v>
      </c>
      <c r="L96" s="4">
        <v>3.4005037783375318E-2</v>
      </c>
      <c r="M96" s="4">
        <v>2.6682838083687082E-2</v>
      </c>
    </row>
    <row r="97" spans="1:13" x14ac:dyDescent="0.35">
      <c r="A97" s="6"/>
      <c r="B97" s="2" t="s">
        <v>25</v>
      </c>
      <c r="C97" s="4">
        <v>1.7331022530329288E-3</v>
      </c>
      <c r="D97" s="4">
        <v>1.1627906976744186E-2</v>
      </c>
      <c r="E97" s="4">
        <v>0</v>
      </c>
      <c r="F97" s="4">
        <v>1.1834319526627219E-2</v>
      </c>
      <c r="G97" s="4">
        <v>3.8022813688212928E-3</v>
      </c>
      <c r="H97" s="4">
        <v>1.4492753623188406E-2</v>
      </c>
      <c r="I97" s="4">
        <v>1.3888888888888888E-2</v>
      </c>
      <c r="J97" s="4">
        <v>0</v>
      </c>
      <c r="K97" s="4">
        <v>1.4319809069212404E-2</v>
      </c>
      <c r="L97" s="4">
        <v>1.405152224824356E-2</v>
      </c>
      <c r="M97" s="4">
        <v>1.3927576601671309E-2</v>
      </c>
    </row>
    <row r="98" spans="1:13" x14ac:dyDescent="0.35">
      <c r="A98" s="6"/>
      <c r="B98" s="2" t="s">
        <v>135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2.2727272727272728E-2</v>
      </c>
      <c r="J98" s="4">
        <v>7.8947368421052641E-2</v>
      </c>
      <c r="K98" s="4">
        <v>6.25E-2</v>
      </c>
      <c r="L98" s="4">
        <v>8.8235294117647065E-2</v>
      </c>
      <c r="M98" s="4">
        <v>8.8235294117647065E-2</v>
      </c>
    </row>
    <row r="99" spans="1:13" x14ac:dyDescent="0.35">
      <c r="A99" s="6"/>
      <c r="B99" s="2" t="s">
        <v>136</v>
      </c>
      <c r="C99" s="4">
        <v>2.8037383177570093E-2</v>
      </c>
      <c r="D99" s="4">
        <v>0</v>
      </c>
      <c r="E99" s="4">
        <v>1.0526315789473684E-2</v>
      </c>
      <c r="F99" s="4">
        <v>9.8039215686274508E-3</v>
      </c>
      <c r="G99" s="4">
        <v>2.8301886792452831E-2</v>
      </c>
      <c r="H99" s="4">
        <v>4.5454545454545456E-2</v>
      </c>
      <c r="I99" s="4">
        <v>0</v>
      </c>
      <c r="J99" s="4">
        <v>2.5210084033613439E-2</v>
      </c>
      <c r="K99" s="4">
        <v>1.1363636363636364E-2</v>
      </c>
      <c r="L99" s="4">
        <v>4.4642857142857144E-2</v>
      </c>
      <c r="M99" s="4">
        <v>2.2988505747126436E-2</v>
      </c>
    </row>
    <row r="100" spans="1:13" x14ac:dyDescent="0.35">
      <c r="A100" s="6"/>
      <c r="B100" s="2" t="s">
        <v>137</v>
      </c>
      <c r="C100" s="4">
        <v>1.8018018018018018E-2</v>
      </c>
      <c r="D100" s="4">
        <v>2.247191011235955E-2</v>
      </c>
      <c r="E100" s="4">
        <v>0</v>
      </c>
      <c r="F100" s="4">
        <v>1.1494252873563218E-2</v>
      </c>
      <c r="G100" s="4">
        <v>0.04</v>
      </c>
      <c r="H100" s="4">
        <v>0</v>
      </c>
      <c r="I100" s="4">
        <v>1.9417475728155338E-2</v>
      </c>
      <c r="J100" s="4">
        <v>0</v>
      </c>
      <c r="K100" s="4">
        <v>3.7499999999999999E-2</v>
      </c>
      <c r="L100" s="4">
        <v>4.5454545454545456E-2</v>
      </c>
      <c r="M100" s="4">
        <v>1.3157894736842105E-2</v>
      </c>
    </row>
    <row r="101" spans="1:13" x14ac:dyDescent="0.35">
      <c r="A101" s="6"/>
      <c r="B101" s="2" t="s">
        <v>26</v>
      </c>
      <c r="C101" s="4">
        <v>0</v>
      </c>
      <c r="D101" s="4">
        <v>2.2727272727272728E-2</v>
      </c>
      <c r="E101" s="4">
        <v>2.0833333333333332E-2</v>
      </c>
      <c r="F101" s="4">
        <v>5.2631578947368418E-2</v>
      </c>
      <c r="G101" s="4">
        <v>0</v>
      </c>
      <c r="H101" s="4">
        <v>2.1276595744680851E-2</v>
      </c>
      <c r="I101" s="4">
        <v>3.2258064516129031E-2</v>
      </c>
      <c r="J101" s="4">
        <v>1.9607843137254902E-2</v>
      </c>
      <c r="K101" s="4">
        <v>0</v>
      </c>
      <c r="L101" s="4">
        <v>2.6315789473684209E-2</v>
      </c>
      <c r="M101" s="4">
        <v>0</v>
      </c>
    </row>
    <row r="102" spans="1:13" x14ac:dyDescent="0.35">
      <c r="A102" s="6"/>
      <c r="B102" s="2" t="s">
        <v>138</v>
      </c>
      <c r="C102" s="4">
        <v>1.2376237623762377E-2</v>
      </c>
      <c r="D102" s="4">
        <v>0</v>
      </c>
      <c r="E102" s="4">
        <v>1.2391573729863693E-2</v>
      </c>
      <c r="F102" s="4">
        <v>2.2049286640726331E-2</v>
      </c>
      <c r="G102" s="4">
        <v>1.8541409147095178E-2</v>
      </c>
      <c r="H102" s="4">
        <v>4.7235023041474651E-2</v>
      </c>
      <c r="I102" s="4">
        <v>3.0303030303030304E-2</v>
      </c>
      <c r="J102" s="4">
        <v>3.557814485387549E-2</v>
      </c>
      <c r="K102" s="4">
        <v>4.321728691476593E-2</v>
      </c>
      <c r="L102" s="4">
        <v>5.19159456118665E-2</v>
      </c>
      <c r="M102" s="4">
        <v>7.03125E-2</v>
      </c>
    </row>
    <row r="103" spans="1:13" x14ac:dyDescent="0.35">
      <c r="A103" s="6"/>
      <c r="B103" s="2" t="s">
        <v>27</v>
      </c>
      <c r="C103" s="4">
        <v>8.3745116065272358E-3</v>
      </c>
      <c r="D103" s="4">
        <v>8.5935505828299164E-3</v>
      </c>
      <c r="E103" s="4">
        <v>8.6414526982644107E-3</v>
      </c>
      <c r="F103" s="4">
        <v>1.0605567553175753E-2</v>
      </c>
      <c r="G103" s="4">
        <v>1.3521320280419068E-2</v>
      </c>
      <c r="H103" s="4">
        <v>1.5249929398475007E-2</v>
      </c>
      <c r="I103" s="4">
        <v>1.5052537515792068E-2</v>
      </c>
      <c r="J103" s="4">
        <v>1.5534430790632964E-2</v>
      </c>
      <c r="K103" s="4">
        <v>1.6568158953722337E-2</v>
      </c>
      <c r="L103" s="4">
        <v>2.4531216263349333E-2</v>
      </c>
      <c r="M103" s="4">
        <v>2.9185173538775991E-2</v>
      </c>
    </row>
    <row r="104" spans="1:13" x14ac:dyDescent="0.35">
      <c r="A104" s="6"/>
      <c r="B104" s="2" t="s">
        <v>28</v>
      </c>
      <c r="C104" s="4">
        <v>1.134020618556701E-2</v>
      </c>
      <c r="D104" s="4">
        <v>7.6701821668264617E-3</v>
      </c>
      <c r="E104" s="4">
        <v>7.1574642126789366E-3</v>
      </c>
      <c r="F104" s="4">
        <v>9.5642933049946872E-3</v>
      </c>
      <c r="G104" s="4">
        <v>1.3306038894575231E-2</v>
      </c>
      <c r="H104" s="4">
        <v>1.2101210121012101E-2</v>
      </c>
      <c r="I104" s="4">
        <v>2.4134312696747113E-2</v>
      </c>
      <c r="J104" s="4">
        <v>1.288056206088993E-2</v>
      </c>
      <c r="K104" s="4">
        <v>2.1253985122210411E-2</v>
      </c>
      <c r="L104" s="4">
        <v>2.4822695035460994E-2</v>
      </c>
      <c r="M104" s="4">
        <v>5.6097560975609757E-2</v>
      </c>
    </row>
    <row r="105" spans="1:13" x14ac:dyDescent="0.35">
      <c r="A105" s="6"/>
      <c r="B105" s="2" t="s">
        <v>139</v>
      </c>
      <c r="C105" s="4">
        <v>2.7027027027027029E-2</v>
      </c>
      <c r="D105" s="4">
        <v>0</v>
      </c>
      <c r="E105" s="4">
        <v>0.10344827586206896</v>
      </c>
      <c r="F105" s="4">
        <v>0.04</v>
      </c>
      <c r="G105" s="4">
        <v>2.7777777777777776E-2</v>
      </c>
      <c r="H105" s="4">
        <v>0</v>
      </c>
      <c r="I105" s="4">
        <v>3.3333333333333333E-2</v>
      </c>
      <c r="J105" s="4">
        <v>0</v>
      </c>
      <c r="K105" s="4">
        <v>0</v>
      </c>
      <c r="L105" s="4">
        <v>3.4482758620689655E-2</v>
      </c>
      <c r="M105" s="4">
        <v>6.6666666666666666E-2</v>
      </c>
    </row>
    <row r="106" spans="1:13" x14ac:dyDescent="0.35">
      <c r="A106" s="6"/>
      <c r="B106" s="2" t="s">
        <v>140</v>
      </c>
      <c r="C106" s="4">
        <v>1.1235955056179775E-2</v>
      </c>
      <c r="D106" s="4">
        <v>1.4285714285714285E-2</v>
      </c>
      <c r="E106" s="4">
        <v>0</v>
      </c>
      <c r="F106" s="4">
        <v>1.4492753623188406E-2</v>
      </c>
      <c r="G106" s="4">
        <v>1.8181818181818181E-2</v>
      </c>
      <c r="H106" s="4">
        <v>1.7857142857142856E-2</v>
      </c>
      <c r="I106" s="4">
        <v>3.8461538461538464E-2</v>
      </c>
      <c r="J106" s="4">
        <v>0</v>
      </c>
      <c r="K106" s="4">
        <v>1.8181818181818184E-2</v>
      </c>
      <c r="L106" s="4">
        <v>0.08</v>
      </c>
      <c r="M106" s="4">
        <v>0.06</v>
      </c>
    </row>
    <row r="107" spans="1:13" x14ac:dyDescent="0.35">
      <c r="A107" s="6"/>
      <c r="B107" s="2" t="s">
        <v>29</v>
      </c>
      <c r="C107" s="4">
        <v>2.8289755679382769E-2</v>
      </c>
      <c r="D107" s="4">
        <v>2.7788964961739829E-2</v>
      </c>
      <c r="E107" s="4">
        <v>2.7559055118110236E-2</v>
      </c>
      <c r="F107" s="4">
        <v>3.3536585365853661E-2</v>
      </c>
      <c r="G107" s="4">
        <v>3.1677747360187719E-2</v>
      </c>
      <c r="H107" s="4">
        <v>3.1391986782321357E-2</v>
      </c>
      <c r="I107" s="4">
        <v>3.4875444839857654E-2</v>
      </c>
      <c r="J107" s="4">
        <v>2.9988893002591627E-2</v>
      </c>
      <c r="K107" s="4">
        <v>3.7504261847937266E-2</v>
      </c>
      <c r="L107" s="4">
        <v>3.3201010465535905E-2</v>
      </c>
      <c r="M107" s="4">
        <v>4.0888602704443014E-2</v>
      </c>
    </row>
    <row r="108" spans="1:13" x14ac:dyDescent="0.35">
      <c r="A108" s="6"/>
      <c r="B108" s="2" t="s">
        <v>141</v>
      </c>
      <c r="C108" s="4">
        <v>0</v>
      </c>
      <c r="D108" s="4">
        <v>4.1095890410958902E-2</v>
      </c>
      <c r="E108" s="4">
        <v>2.5000000000000001E-2</v>
      </c>
      <c r="F108" s="4">
        <v>2.8169014084507043E-2</v>
      </c>
      <c r="G108" s="4">
        <v>1.6666666666666666E-2</v>
      </c>
      <c r="H108" s="4">
        <v>1.8181818181818181E-2</v>
      </c>
      <c r="I108" s="4">
        <v>0</v>
      </c>
      <c r="J108" s="4">
        <v>1.538461538461538E-2</v>
      </c>
      <c r="K108" s="4">
        <v>1.7857142857142853E-2</v>
      </c>
      <c r="L108" s="4">
        <v>6.1224489795918366E-2</v>
      </c>
      <c r="M108" s="4">
        <v>5.6603773584905662E-2</v>
      </c>
    </row>
    <row r="109" spans="1:13" x14ac:dyDescent="0.35">
      <c r="A109" s="6"/>
      <c r="B109" s="2" t="s">
        <v>142</v>
      </c>
      <c r="C109" s="4">
        <v>7.9286422200198214E-3</v>
      </c>
      <c r="D109" s="4">
        <v>1.5936254980079681E-2</v>
      </c>
      <c r="E109" s="4">
        <v>1.6528925619834711E-2</v>
      </c>
      <c r="F109" s="4">
        <v>1.9978969505783387E-2</v>
      </c>
      <c r="G109" s="4">
        <v>2.231237322515213E-2</v>
      </c>
      <c r="H109" s="4">
        <v>2.5773195876288658E-2</v>
      </c>
      <c r="I109" s="4">
        <v>2.9850746268656716E-2</v>
      </c>
      <c r="J109" s="4">
        <v>3.6363636363636369E-2</v>
      </c>
      <c r="K109" s="4">
        <v>4.1015625E-2</v>
      </c>
      <c r="L109" s="4">
        <v>4.9544994944388271E-2</v>
      </c>
      <c r="M109" s="4">
        <v>5.4271356783919596E-2</v>
      </c>
    </row>
    <row r="110" spans="1:13" x14ac:dyDescent="0.35">
      <c r="A110" s="6"/>
      <c r="B110" s="2" t="s">
        <v>143</v>
      </c>
      <c r="C110" s="4">
        <v>1.9650101419878296E-3</v>
      </c>
      <c r="D110" s="4">
        <v>1.1260593848159781E-3</v>
      </c>
      <c r="E110" s="4">
        <v>2.3954302561267735E-3</v>
      </c>
      <c r="F110" s="4">
        <v>3.4864150036066363E-3</v>
      </c>
      <c r="G110" s="4">
        <v>4.1237113402061857E-3</v>
      </c>
      <c r="H110" s="4">
        <v>6.9399895025368868E-3</v>
      </c>
      <c r="I110" s="4">
        <v>6.3148646422491904E-3</v>
      </c>
      <c r="J110" s="4">
        <v>8.4972911320216685E-3</v>
      </c>
      <c r="K110" s="4">
        <v>9.824837188412306E-3</v>
      </c>
      <c r="L110" s="4">
        <v>1.2032289181093567E-2</v>
      </c>
      <c r="M110" s="4">
        <v>1.1608137421586446E-2</v>
      </c>
    </row>
    <row r="111" spans="1:13" x14ac:dyDescent="0.35">
      <c r="A111" s="6"/>
      <c r="B111" s="2" t="s">
        <v>144</v>
      </c>
      <c r="C111" s="4">
        <v>7.1090047393364926E-3</v>
      </c>
      <c r="D111" s="4">
        <v>2.2522522522522522E-3</v>
      </c>
      <c r="E111" s="4">
        <v>1.1261261261261261E-2</v>
      </c>
      <c r="F111" s="4">
        <v>6.2893081761006293E-3</v>
      </c>
      <c r="G111" s="4">
        <v>1.6355140186915886E-2</v>
      </c>
      <c r="H111" s="4">
        <v>2.0576131687242798E-2</v>
      </c>
      <c r="I111" s="4">
        <v>2.8925619834710745E-2</v>
      </c>
      <c r="J111" s="4">
        <v>2.758620689655172E-2</v>
      </c>
      <c r="K111" s="4">
        <v>3.8636363636363635E-2</v>
      </c>
      <c r="L111" s="4">
        <v>5.0808314087759814E-2</v>
      </c>
      <c r="M111" s="4">
        <v>4.702970297029703E-2</v>
      </c>
    </row>
    <row r="112" spans="1:13" x14ac:dyDescent="0.35">
      <c r="A112" s="6"/>
      <c r="B112" s="2" t="s">
        <v>30</v>
      </c>
      <c r="C112" s="4">
        <v>0</v>
      </c>
      <c r="D112" s="4">
        <v>0</v>
      </c>
      <c r="E112" s="4">
        <v>5.1413881748071976E-3</v>
      </c>
      <c r="F112" s="4">
        <v>8.4269662921348312E-3</v>
      </c>
      <c r="G112" s="4">
        <v>8.3102493074792248E-3</v>
      </c>
      <c r="H112" s="4">
        <v>1.4534883720930232E-2</v>
      </c>
      <c r="I112" s="4">
        <v>1.5015015015015015E-2</v>
      </c>
      <c r="J112" s="4">
        <v>1.6611295681063124E-2</v>
      </c>
      <c r="K112" s="4">
        <v>1.3661202185792353E-2</v>
      </c>
      <c r="L112" s="4">
        <v>5.6074766355140186E-2</v>
      </c>
      <c r="M112" s="4">
        <v>5.6105610561056105E-2</v>
      </c>
    </row>
    <row r="113" spans="1:13" x14ac:dyDescent="0.35">
      <c r="A113" s="6"/>
      <c r="B113" s="2" t="s">
        <v>145</v>
      </c>
      <c r="C113" s="4">
        <v>2.5039123630672927E-2</v>
      </c>
      <c r="D113" s="4">
        <v>1.6920473773265651E-2</v>
      </c>
      <c r="E113" s="4">
        <v>3.7398373983739838E-2</v>
      </c>
      <c r="F113" s="4">
        <v>2.8169014084507043E-2</v>
      </c>
      <c r="G113" s="4">
        <v>2.6315789473684209E-2</v>
      </c>
      <c r="H113" s="4">
        <v>3.7195994277539342E-2</v>
      </c>
      <c r="I113" s="4">
        <v>5.0874403815580289E-2</v>
      </c>
      <c r="J113" s="4">
        <v>5.3833605220228391E-2</v>
      </c>
      <c r="K113" s="4">
        <v>4.2699724517906323E-2</v>
      </c>
      <c r="L113" s="4">
        <v>5.6851311953352766E-2</v>
      </c>
      <c r="M113" s="4">
        <v>8.6538461538461536E-2</v>
      </c>
    </row>
    <row r="114" spans="1:13" x14ac:dyDescent="0.35">
      <c r="A114" s="6"/>
      <c r="B114" s="2" t="s">
        <v>146</v>
      </c>
      <c r="C114" s="4">
        <v>1.0373443983402489E-2</v>
      </c>
      <c r="D114" s="4">
        <v>6.5502183406113534E-3</v>
      </c>
      <c r="E114" s="4">
        <v>9.3457943925233638E-3</v>
      </c>
      <c r="F114" s="4">
        <v>1.0570824524312896E-2</v>
      </c>
      <c r="G114" s="4">
        <v>8.8888888888888889E-3</v>
      </c>
      <c r="H114" s="4">
        <v>2.2540983606557378E-2</v>
      </c>
      <c r="I114" s="4">
        <v>1.4830508474576272E-2</v>
      </c>
      <c r="J114" s="4">
        <v>2.9680365296803641E-2</v>
      </c>
      <c r="K114" s="4">
        <v>4.5146726862302488E-3</v>
      </c>
      <c r="L114" s="4">
        <v>4.1322314049586778E-2</v>
      </c>
      <c r="M114" s="4">
        <v>4.2986425339366516E-2</v>
      </c>
    </row>
    <row r="115" spans="1:13" x14ac:dyDescent="0.35">
      <c r="A115" s="6"/>
      <c r="B115" s="2" t="s">
        <v>147</v>
      </c>
      <c r="C115" s="4">
        <v>4.7393364928909956E-3</v>
      </c>
      <c r="D115" s="4">
        <v>0</v>
      </c>
      <c r="E115" s="4">
        <v>1.507537688442211E-2</v>
      </c>
      <c r="F115" s="4">
        <v>1.7699115044247787E-2</v>
      </c>
      <c r="G115" s="4">
        <v>2.7649769585253458E-2</v>
      </c>
      <c r="H115" s="4">
        <v>2.4509803921568627E-2</v>
      </c>
      <c r="I115" s="4">
        <v>3.6199095022624438E-2</v>
      </c>
      <c r="J115" s="4">
        <v>4.1237113402061855E-2</v>
      </c>
      <c r="K115" s="4">
        <v>5.0359712230215826E-2</v>
      </c>
      <c r="L115" s="4">
        <v>2.6666666666666668E-2</v>
      </c>
      <c r="M115" s="4">
        <v>3.7634408602150539E-2</v>
      </c>
    </row>
    <row r="116" spans="1:13" x14ac:dyDescent="0.35">
      <c r="A116" s="6"/>
      <c r="B116" s="2" t="s">
        <v>148</v>
      </c>
      <c r="C116" s="4">
        <v>8.4745762711864406E-3</v>
      </c>
      <c r="D116" s="4">
        <v>1.0526315789473684E-2</v>
      </c>
      <c r="E116" s="4">
        <v>8.771929824561403E-3</v>
      </c>
      <c r="F116" s="4">
        <v>1.7283950617283949E-2</v>
      </c>
      <c r="G116" s="4">
        <v>1.0917030567685589E-2</v>
      </c>
      <c r="H116" s="4">
        <v>2.5369978858350951E-2</v>
      </c>
      <c r="I116" s="4">
        <v>6.0728744939271256E-3</v>
      </c>
      <c r="J116" s="4">
        <v>1.6949152542372874E-2</v>
      </c>
      <c r="K116" s="4">
        <v>2.1276595744680857E-2</v>
      </c>
      <c r="L116" s="4">
        <v>2.850877192982456E-2</v>
      </c>
      <c r="M116" s="4">
        <v>2.6506024096385541E-2</v>
      </c>
    </row>
    <row r="117" spans="1:13" x14ac:dyDescent="0.35">
      <c r="A117" s="6"/>
      <c r="B117" s="2" t="s">
        <v>149</v>
      </c>
      <c r="C117" s="4">
        <v>0</v>
      </c>
      <c r="D117" s="4">
        <v>0</v>
      </c>
      <c r="E117" s="4">
        <v>0</v>
      </c>
      <c r="F117" s="4">
        <v>4.6511627906976744E-2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2.6315789473684209E-2</v>
      </c>
    </row>
    <row r="118" spans="1:13" x14ac:dyDescent="0.35">
      <c r="A118" s="6"/>
      <c r="B118" s="2" t="s">
        <v>150</v>
      </c>
      <c r="C118" s="4">
        <v>1.0135135135135136E-2</v>
      </c>
      <c r="D118" s="4">
        <v>9.8039215686274508E-3</v>
      </c>
      <c r="E118" s="4">
        <v>1.0597302504816955E-2</v>
      </c>
      <c r="F118" s="4">
        <v>9.5693779904306216E-3</v>
      </c>
      <c r="G118" s="4">
        <v>1.2855831037649219E-2</v>
      </c>
      <c r="H118" s="4">
        <v>2.1495327102803739E-2</v>
      </c>
      <c r="I118" s="4">
        <v>2.0609318996415771E-2</v>
      </c>
      <c r="J118" s="4">
        <v>1.5682656826568261E-2</v>
      </c>
      <c r="K118" s="4">
        <v>3.0136986301369864E-2</v>
      </c>
      <c r="L118" s="4">
        <v>4.5454545454545456E-2</v>
      </c>
      <c r="M118" s="4">
        <v>5.1796157059314951E-2</v>
      </c>
    </row>
    <row r="119" spans="1:13" x14ac:dyDescent="0.35">
      <c r="A119" s="6"/>
      <c r="B119" s="2" t="s">
        <v>151</v>
      </c>
      <c r="C119" s="4">
        <v>9.74025974025974E-3</v>
      </c>
      <c r="D119" s="4">
        <v>1.2698412698412698E-2</v>
      </c>
      <c r="E119" s="4">
        <v>3.6101083032490976E-3</v>
      </c>
      <c r="F119" s="4">
        <v>1.7543859649122806E-2</v>
      </c>
      <c r="G119" s="4">
        <v>3.1358885017421602E-2</v>
      </c>
      <c r="H119" s="4">
        <v>2.0618556701030927E-2</v>
      </c>
      <c r="I119" s="4">
        <v>3.7288135593220341E-2</v>
      </c>
      <c r="J119" s="4">
        <v>3.846153846153845E-2</v>
      </c>
      <c r="K119" s="4">
        <v>5.2816901408450689E-2</v>
      </c>
      <c r="L119" s="4">
        <v>4.5226130653266333E-2</v>
      </c>
      <c r="M119" s="4">
        <v>3.8461538461538464E-2</v>
      </c>
    </row>
    <row r="120" spans="1:13" x14ac:dyDescent="0.35">
      <c r="A120" s="6"/>
      <c r="B120" s="2" t="s">
        <v>152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4.5454545454545456E-2</v>
      </c>
      <c r="I120" s="4">
        <v>3.8461538461538464E-2</v>
      </c>
      <c r="J120" s="4">
        <v>0</v>
      </c>
      <c r="K120" s="4">
        <v>0.10526315789473682</v>
      </c>
      <c r="L120" s="4">
        <v>6.0606060606060608E-2</v>
      </c>
      <c r="M120" s="4">
        <v>0.08</v>
      </c>
    </row>
    <row r="121" spans="1:13" x14ac:dyDescent="0.35">
      <c r="A121" s="6"/>
      <c r="B121" s="2" t="s">
        <v>153</v>
      </c>
      <c r="C121" s="4">
        <v>0</v>
      </c>
      <c r="D121" s="4">
        <v>0</v>
      </c>
      <c r="E121" s="4">
        <v>2.6548672566371681E-2</v>
      </c>
      <c r="F121" s="4">
        <v>2.5862068965517241E-2</v>
      </c>
      <c r="G121" s="4">
        <v>9.0090090090090089E-3</v>
      </c>
      <c r="H121" s="4">
        <v>2.5000000000000001E-2</v>
      </c>
      <c r="I121" s="4">
        <v>4.7619047619047616E-2</v>
      </c>
      <c r="J121" s="4">
        <v>8.3333333333333315E-3</v>
      </c>
      <c r="K121" s="4">
        <v>0</v>
      </c>
      <c r="L121" s="4">
        <v>3.125E-2</v>
      </c>
      <c r="M121" s="4">
        <v>6.4220183486238536E-2</v>
      </c>
    </row>
    <row r="122" spans="1:13" x14ac:dyDescent="0.35">
      <c r="A122" s="6"/>
      <c r="B122" s="2" t="s">
        <v>154</v>
      </c>
      <c r="C122" s="4">
        <v>1.0344827586206896E-2</v>
      </c>
      <c r="D122" s="4">
        <v>1.8382352941176471E-2</v>
      </c>
      <c r="E122" s="4">
        <v>3.8461538461538464E-3</v>
      </c>
      <c r="F122" s="4">
        <v>1.3333333333333334E-2</v>
      </c>
      <c r="G122" s="4">
        <v>8.8495575221238937E-3</v>
      </c>
      <c r="H122" s="4">
        <v>1.5267175572519083E-2</v>
      </c>
      <c r="I122" s="4">
        <v>1.2244897959183673E-2</v>
      </c>
      <c r="J122" s="4">
        <v>1.2931034482758622E-2</v>
      </c>
      <c r="K122" s="4">
        <v>8.3333333333333315E-3</v>
      </c>
      <c r="L122" s="4">
        <v>1.0638297872340425E-2</v>
      </c>
      <c r="M122" s="4">
        <v>1.2295081967213115E-2</v>
      </c>
    </row>
    <row r="123" spans="1:13" x14ac:dyDescent="0.35">
      <c r="A123" s="6"/>
      <c r="B123" s="2" t="s">
        <v>155</v>
      </c>
      <c r="C123" s="4">
        <v>1.1111111111111112E-2</v>
      </c>
      <c r="D123" s="4">
        <v>1.3186813186813187E-2</v>
      </c>
      <c r="E123" s="4">
        <v>1.411764705882353E-2</v>
      </c>
      <c r="F123" s="4">
        <v>1.1876484560570071E-2</v>
      </c>
      <c r="G123" s="4">
        <v>3.2786885245901641E-2</v>
      </c>
      <c r="H123" s="4">
        <v>2.6385224274406333E-2</v>
      </c>
      <c r="I123" s="4">
        <v>6.4971751412429377E-2</v>
      </c>
      <c r="J123" s="4">
        <v>4.363636363636364E-2</v>
      </c>
      <c r="K123" s="4">
        <v>6.4367816091954022E-2</v>
      </c>
      <c r="L123" s="4">
        <v>8.1218274111675121E-2</v>
      </c>
      <c r="M123" s="4">
        <v>9.7035040431266845E-2</v>
      </c>
    </row>
    <row r="124" spans="1:13" x14ac:dyDescent="0.35">
      <c r="A124" s="6"/>
      <c r="B124" s="2" t="s">
        <v>156</v>
      </c>
      <c r="C124" s="4">
        <v>0</v>
      </c>
      <c r="D124" s="4">
        <v>0</v>
      </c>
      <c r="E124" s="4">
        <v>0</v>
      </c>
      <c r="F124" s="4">
        <v>0</v>
      </c>
      <c r="G124" s="4">
        <v>0.11764705882352941</v>
      </c>
      <c r="H124" s="4">
        <v>0.125</v>
      </c>
      <c r="I124" s="4">
        <v>7.6923076923076927E-2</v>
      </c>
      <c r="J124" s="4">
        <v>7.1428571428571411E-2</v>
      </c>
      <c r="K124" s="4">
        <v>0</v>
      </c>
      <c r="L124" s="4">
        <v>9.0909090909090912E-2</v>
      </c>
      <c r="M124" s="4">
        <v>0</v>
      </c>
    </row>
    <row r="125" spans="1:13" x14ac:dyDescent="0.35">
      <c r="A125" s="6"/>
      <c r="B125" s="2" t="s">
        <v>157</v>
      </c>
      <c r="C125" s="4">
        <v>7.0880094506792675E-3</v>
      </c>
      <c r="D125" s="4">
        <v>8.118295158016816E-3</v>
      </c>
      <c r="E125" s="4">
        <v>8.3882564409826239E-3</v>
      </c>
      <c r="F125" s="4">
        <v>6.8771491090965928E-3</v>
      </c>
      <c r="G125" s="4">
        <v>1.3224181360201511E-2</v>
      </c>
      <c r="H125" s="4">
        <v>1.6079158936301793E-2</v>
      </c>
      <c r="I125" s="4">
        <v>1.6865992026985587E-2</v>
      </c>
      <c r="J125" s="4">
        <v>1.2365250475586559E-2</v>
      </c>
      <c r="K125" s="4">
        <v>2.5487728130899927E-2</v>
      </c>
      <c r="L125" s="4">
        <v>3.2044928972580114E-2</v>
      </c>
      <c r="M125" s="4">
        <v>3.2167395377888819E-2</v>
      </c>
    </row>
    <row r="126" spans="1:13" x14ac:dyDescent="0.35">
      <c r="A126" s="6"/>
      <c r="B126" s="2" t="s">
        <v>158</v>
      </c>
      <c r="C126" s="4">
        <v>0</v>
      </c>
      <c r="D126" s="4">
        <v>9.9009900990099011E-3</v>
      </c>
      <c r="E126" s="4">
        <v>0</v>
      </c>
      <c r="F126" s="4">
        <v>0</v>
      </c>
      <c r="G126" s="4">
        <v>0</v>
      </c>
      <c r="H126" s="4">
        <v>1.1111111111111112E-2</v>
      </c>
      <c r="I126" s="4">
        <v>0</v>
      </c>
      <c r="J126" s="4">
        <v>3.6585365853658527E-2</v>
      </c>
      <c r="K126" s="4">
        <v>1.2658227848101264E-2</v>
      </c>
      <c r="L126" s="4">
        <v>1.6393442622950821E-2</v>
      </c>
      <c r="M126" s="4">
        <v>1.5151515151515152E-2</v>
      </c>
    </row>
    <row r="127" spans="1:13" x14ac:dyDescent="0.35">
      <c r="A127" s="6"/>
      <c r="B127" s="2" t="s">
        <v>159</v>
      </c>
      <c r="C127" s="4">
        <v>0</v>
      </c>
      <c r="D127" s="4">
        <v>0</v>
      </c>
      <c r="E127" s="4">
        <v>3.3444816053511705E-3</v>
      </c>
      <c r="F127" s="4">
        <v>1.6949152542372881E-3</v>
      </c>
      <c r="G127" s="4">
        <v>5.5248618784530384E-3</v>
      </c>
      <c r="H127" s="4">
        <v>6.6225165562913907E-3</v>
      </c>
      <c r="I127" s="4">
        <v>1.9867549668874173E-2</v>
      </c>
      <c r="J127" s="4">
        <v>7.5614366729678624E-3</v>
      </c>
      <c r="K127" s="4">
        <v>2.2088353413654629E-2</v>
      </c>
      <c r="L127" s="4">
        <v>3.6809815950920248E-2</v>
      </c>
      <c r="M127" s="4">
        <v>2.3668639053254437E-2</v>
      </c>
    </row>
    <row r="128" spans="1:13" x14ac:dyDescent="0.35">
      <c r="A128" s="6"/>
      <c r="B128" s="2" t="s">
        <v>160</v>
      </c>
      <c r="C128" s="4">
        <v>1.5931372549019607E-2</v>
      </c>
      <c r="D128" s="4">
        <v>1.6083634901487735E-2</v>
      </c>
      <c r="E128" s="4">
        <v>2.3217922606924644E-2</v>
      </c>
      <c r="F128" s="4">
        <v>2.6129317980513728E-2</v>
      </c>
      <c r="G128" s="4">
        <v>3.2093933463796478E-2</v>
      </c>
      <c r="H128" s="4">
        <v>3.8704581358609796E-2</v>
      </c>
      <c r="I128" s="4">
        <v>4.0291634689178818E-2</v>
      </c>
      <c r="J128" s="4">
        <v>4.4384407564646872E-2</v>
      </c>
      <c r="K128" s="4">
        <v>4.5078888054094657E-2</v>
      </c>
      <c r="L128" s="4">
        <v>5.4285714285714284E-2</v>
      </c>
      <c r="M128" s="4">
        <v>6.0259344012204424E-2</v>
      </c>
    </row>
    <row r="129" spans="1:13" x14ac:dyDescent="0.35">
      <c r="A129" s="6"/>
      <c r="B129" s="2" t="s">
        <v>161</v>
      </c>
      <c r="C129" s="4">
        <v>0</v>
      </c>
      <c r="D129" s="4">
        <v>9.9502487562189053E-3</v>
      </c>
      <c r="E129" s="4">
        <v>4.7169811320754715E-3</v>
      </c>
      <c r="F129" s="4">
        <v>1.6393442622950821E-2</v>
      </c>
      <c r="G129" s="4">
        <v>0</v>
      </c>
      <c r="H129" s="4">
        <v>5.0251256281407036E-3</v>
      </c>
      <c r="I129" s="4">
        <v>9.7560975609756097E-3</v>
      </c>
      <c r="J129" s="4">
        <v>1.234567901234568E-2</v>
      </c>
      <c r="K129" s="4">
        <v>3.1914893617021274E-2</v>
      </c>
      <c r="L129" s="4">
        <v>1.5873015873015872E-2</v>
      </c>
      <c r="M129" s="4">
        <v>3.2258064516129031E-2</v>
      </c>
    </row>
    <row r="130" spans="1:13" x14ac:dyDescent="0.35">
      <c r="A130" s="6"/>
      <c r="B130" s="2" t="s">
        <v>162</v>
      </c>
      <c r="C130" s="4">
        <v>5.8823529411764705E-3</v>
      </c>
      <c r="D130" s="4">
        <v>5.4054054054054057E-3</v>
      </c>
      <c r="E130" s="4">
        <v>0</v>
      </c>
      <c r="F130" s="4">
        <v>0</v>
      </c>
      <c r="G130" s="4">
        <v>5.5248618784530384E-3</v>
      </c>
      <c r="H130" s="4">
        <v>0</v>
      </c>
      <c r="I130" s="4">
        <v>1.0050251256281407E-2</v>
      </c>
      <c r="J130" s="4">
        <v>9.9009900990099011E-3</v>
      </c>
      <c r="K130" s="4">
        <v>1.1764705882352939E-2</v>
      </c>
      <c r="L130" s="4">
        <v>6.8681318681318687E-2</v>
      </c>
      <c r="M130" s="4">
        <v>0</v>
      </c>
    </row>
    <row r="131" spans="1:13" x14ac:dyDescent="0.35">
      <c r="A131" s="6"/>
      <c r="B131" s="2" t="s">
        <v>163</v>
      </c>
      <c r="C131" s="4">
        <v>1.1336515513126491E-2</v>
      </c>
      <c r="D131" s="4">
        <v>1.1931394481730051E-2</v>
      </c>
      <c r="E131" s="4">
        <v>1.2012012012012012E-2</v>
      </c>
      <c r="F131" s="4">
        <v>1.8461538461538463E-2</v>
      </c>
      <c r="G131" s="4">
        <v>2.1118721461187213E-2</v>
      </c>
      <c r="H131" s="4">
        <v>2.2222222222222223E-2</v>
      </c>
      <c r="I131" s="4">
        <v>3.596757852077001E-2</v>
      </c>
      <c r="J131" s="4">
        <v>2.3715415019762844E-2</v>
      </c>
      <c r="K131" s="4">
        <v>3.3542039355992842E-2</v>
      </c>
      <c r="L131" s="4">
        <v>3.2800672834314551E-2</v>
      </c>
      <c r="M131" s="4">
        <v>5.0607287449392711E-2</v>
      </c>
    </row>
    <row r="132" spans="1:13" x14ac:dyDescent="0.35">
      <c r="A132" s="6"/>
      <c r="B132" s="2" t="s">
        <v>164</v>
      </c>
      <c r="C132" s="4">
        <v>3.4542314335060449E-2</v>
      </c>
      <c r="D132" s="4">
        <v>3.3175355450236969E-2</v>
      </c>
      <c r="E132" s="4">
        <v>2.6729559748427674E-2</v>
      </c>
      <c r="F132" s="4">
        <v>3.2544378698224852E-2</v>
      </c>
      <c r="G132" s="4">
        <v>3.9787798408488062E-2</v>
      </c>
      <c r="H132" s="4">
        <v>5.7103064066852366E-2</v>
      </c>
      <c r="I132" s="4">
        <v>5.4156171284634763E-2</v>
      </c>
      <c r="J132" s="4">
        <v>4.6062407132243681E-2</v>
      </c>
      <c r="K132" s="4">
        <v>4.9411764705882349E-2</v>
      </c>
      <c r="L132" s="4">
        <v>7.6662908680947009E-2</v>
      </c>
      <c r="M132" s="4">
        <v>8.748481166464156E-2</v>
      </c>
    </row>
    <row r="133" spans="1:13" x14ac:dyDescent="0.35">
      <c r="A133" s="6"/>
      <c r="B133" s="2" t="s">
        <v>165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7.1428571428571425E-2</v>
      </c>
    </row>
    <row r="134" spans="1:13" x14ac:dyDescent="0.35">
      <c r="A134" s="6"/>
      <c r="B134" s="2" t="s">
        <v>166</v>
      </c>
      <c r="C134" s="4">
        <v>0.1111111111111111</v>
      </c>
      <c r="D134" s="4">
        <v>0</v>
      </c>
      <c r="E134" s="4">
        <v>0.1</v>
      </c>
      <c r="F134" s="4">
        <v>0</v>
      </c>
      <c r="G134" s="4"/>
      <c r="H134" s="4"/>
      <c r="I134" s="4">
        <v>0</v>
      </c>
      <c r="J134" s="4">
        <v>0.1</v>
      </c>
      <c r="K134" s="4">
        <v>9.0909090909090912E-2</v>
      </c>
      <c r="L134" s="4">
        <v>0</v>
      </c>
      <c r="M134" s="4">
        <v>7.6923076923076927E-2</v>
      </c>
    </row>
    <row r="135" spans="1:13" x14ac:dyDescent="0.35">
      <c r="A135" s="6"/>
      <c r="B135" s="2" t="s">
        <v>167</v>
      </c>
      <c r="C135" s="4">
        <v>2.1912350597609563E-2</v>
      </c>
      <c r="D135" s="4">
        <v>2.321083172147002E-2</v>
      </c>
      <c r="E135" s="4">
        <v>2.681992337164751E-2</v>
      </c>
      <c r="F135" s="4">
        <v>1.9313304721030045E-2</v>
      </c>
      <c r="G135" s="4">
        <v>1.9438444924406047E-2</v>
      </c>
      <c r="H135" s="4">
        <v>5.3677932405566599E-2</v>
      </c>
      <c r="I135" s="4">
        <v>4.3977055449330782E-2</v>
      </c>
      <c r="J135" s="4">
        <v>3.3730158730158721E-2</v>
      </c>
      <c r="K135" s="4">
        <v>4.0080160320641281E-2</v>
      </c>
      <c r="L135" s="4">
        <v>6.4272211720226846E-2</v>
      </c>
      <c r="M135" s="4">
        <v>5.9880239520958084E-2</v>
      </c>
    </row>
    <row r="136" spans="1:13" x14ac:dyDescent="0.35">
      <c r="A136" s="6"/>
      <c r="B136" s="2" t="s">
        <v>168</v>
      </c>
      <c r="C136" s="4">
        <v>0</v>
      </c>
      <c r="D136" s="4">
        <v>0</v>
      </c>
      <c r="E136" s="4">
        <v>0</v>
      </c>
      <c r="F136" s="4">
        <v>0</v>
      </c>
      <c r="G136" s="4">
        <v>2.7027027027027029E-2</v>
      </c>
      <c r="H136" s="4">
        <v>4.1666666666666664E-2</v>
      </c>
      <c r="I136" s="4">
        <v>2.0833333333333332E-2</v>
      </c>
      <c r="J136" s="4">
        <v>5.8823529411764712E-2</v>
      </c>
      <c r="K136" s="4">
        <v>2.1739130434782608E-2</v>
      </c>
      <c r="L136" s="4">
        <v>0</v>
      </c>
      <c r="M136" s="4">
        <v>2.4390243902439025E-2</v>
      </c>
    </row>
    <row r="137" spans="1:13" x14ac:dyDescent="0.35">
      <c r="A137" s="6"/>
      <c r="B137" s="2" t="s">
        <v>169</v>
      </c>
      <c r="C137" s="4">
        <v>0</v>
      </c>
      <c r="D137" s="4">
        <v>0.16666666666666666</v>
      </c>
      <c r="E137" s="4">
        <v>0</v>
      </c>
      <c r="F137" s="4">
        <v>0</v>
      </c>
      <c r="G137" s="4">
        <v>0.14285714285714285</v>
      </c>
      <c r="H137" s="4">
        <v>0.16666666666666666</v>
      </c>
      <c r="I137" s="4">
        <v>0.1111111111111111</v>
      </c>
      <c r="J137" s="4">
        <v>0</v>
      </c>
      <c r="K137" s="4">
        <v>0.1333333333333333</v>
      </c>
      <c r="L137" s="4">
        <v>0.25</v>
      </c>
      <c r="M137" s="4">
        <v>0</v>
      </c>
    </row>
    <row r="138" spans="1:13" x14ac:dyDescent="0.35">
      <c r="A138" s="6"/>
      <c r="B138" s="2" t="s">
        <v>170</v>
      </c>
      <c r="C138" s="4">
        <v>0</v>
      </c>
      <c r="D138" s="4">
        <v>2.7027027027027029E-2</v>
      </c>
      <c r="E138" s="4">
        <v>0</v>
      </c>
      <c r="F138" s="4">
        <v>0</v>
      </c>
      <c r="G138" s="4">
        <v>0</v>
      </c>
      <c r="H138" s="4">
        <v>2.6315789473684209E-2</v>
      </c>
      <c r="I138" s="4">
        <v>0</v>
      </c>
      <c r="J138" s="4">
        <v>2.2222222222222223E-2</v>
      </c>
      <c r="K138" s="4">
        <v>6.3829787234042548E-2</v>
      </c>
      <c r="L138" s="4">
        <v>0</v>
      </c>
      <c r="M138" s="4">
        <v>2.564102564102564E-2</v>
      </c>
    </row>
    <row r="139" spans="1:13" x14ac:dyDescent="0.35">
      <c r="A139" s="6"/>
      <c r="B139" s="2" t="s">
        <v>171</v>
      </c>
      <c r="C139" s="4">
        <v>7.1599045346062056E-3</v>
      </c>
      <c r="D139" s="4">
        <v>0</v>
      </c>
      <c r="E139" s="4">
        <v>1.0416666666666666E-2</v>
      </c>
      <c r="F139" s="4">
        <v>0</v>
      </c>
      <c r="G139" s="4">
        <v>5.2770448548812663E-3</v>
      </c>
      <c r="H139" s="4">
        <v>1.0335917312661499E-2</v>
      </c>
      <c r="I139" s="4">
        <v>1.11731843575419E-2</v>
      </c>
      <c r="J139" s="4">
        <v>9.3457943925233621E-3</v>
      </c>
      <c r="K139" s="4">
        <v>1.0135135135135137E-2</v>
      </c>
      <c r="L139" s="4">
        <v>1.6556291390728478E-2</v>
      </c>
      <c r="M139" s="4">
        <v>3.4351145038167941E-2</v>
      </c>
    </row>
    <row r="140" spans="1:13" x14ac:dyDescent="0.35">
      <c r="A140" s="6"/>
      <c r="B140" s="2" t="s">
        <v>172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6.3829787234042548E-2</v>
      </c>
      <c r="M140" s="4">
        <v>2.7027027027027029E-2</v>
      </c>
    </row>
    <row r="141" spans="1:13" x14ac:dyDescent="0.35">
      <c r="A141" s="6"/>
      <c r="B141" s="2" t="s">
        <v>173</v>
      </c>
      <c r="C141" s="4">
        <v>0</v>
      </c>
      <c r="D141" s="4"/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3.3898305084745763E-2</v>
      </c>
      <c r="M141" s="4">
        <v>0</v>
      </c>
    </row>
    <row r="142" spans="1:13" x14ac:dyDescent="0.35">
      <c r="A142" s="6"/>
      <c r="B142" s="2" t="s">
        <v>31</v>
      </c>
      <c r="C142" s="4">
        <v>8.5910652920962206E-3</v>
      </c>
      <c r="D142" s="4">
        <v>5.5710306406685237E-3</v>
      </c>
      <c r="E142" s="4">
        <v>1.488095238095238E-2</v>
      </c>
      <c r="F142" s="4">
        <v>1.3824884792626729E-2</v>
      </c>
      <c r="G142" s="4">
        <v>1.3050570962479609E-2</v>
      </c>
      <c r="H142" s="4">
        <v>2.4691358024691357E-2</v>
      </c>
      <c r="I142" s="4">
        <v>1.9174041297935103E-2</v>
      </c>
      <c r="J142" s="4">
        <v>2.0280811232449295E-2</v>
      </c>
      <c r="K142" s="4">
        <v>1.7543859649122803E-2</v>
      </c>
      <c r="L142" s="4">
        <v>3.4482758620689655E-2</v>
      </c>
      <c r="M142" s="4">
        <v>3.1645569620253167E-2</v>
      </c>
    </row>
    <row r="143" spans="1:13" x14ac:dyDescent="0.35">
      <c r="A143" s="6"/>
      <c r="B143" s="2" t="s">
        <v>32</v>
      </c>
      <c r="C143" s="4">
        <v>0</v>
      </c>
      <c r="D143" s="4">
        <v>0</v>
      </c>
      <c r="E143" s="4">
        <v>4.0322580645161289E-3</v>
      </c>
      <c r="F143" s="4">
        <v>0</v>
      </c>
      <c r="G143" s="4">
        <v>1.4218009478672985E-2</v>
      </c>
      <c r="H143" s="4">
        <v>0</v>
      </c>
      <c r="I143" s="4">
        <v>0</v>
      </c>
      <c r="J143" s="4">
        <v>2.1621621621621623E-2</v>
      </c>
      <c r="K143" s="4">
        <v>1.015228426395939E-2</v>
      </c>
      <c r="L143" s="4">
        <v>2.4691358024691357E-2</v>
      </c>
      <c r="M143" s="4">
        <v>1.9736842105263157E-2</v>
      </c>
    </row>
    <row r="144" spans="1:13" x14ac:dyDescent="0.35">
      <c r="A144" s="6"/>
      <c r="B144" s="2" t="s">
        <v>174</v>
      </c>
      <c r="C144" s="4">
        <v>8.9605734767025089E-2</v>
      </c>
      <c r="D144" s="4">
        <v>2.9787234042553193E-2</v>
      </c>
      <c r="E144" s="4">
        <v>2.2388059701492536E-2</v>
      </c>
      <c r="F144" s="4">
        <v>2.7777777777777776E-2</v>
      </c>
      <c r="G144" s="4">
        <v>3.6630036630036632E-2</v>
      </c>
      <c r="H144" s="4">
        <v>5.7142857142857141E-2</v>
      </c>
      <c r="I144" s="4">
        <v>4.3137254901960784E-2</v>
      </c>
      <c r="J144" s="4">
        <v>1.428571428571428E-2</v>
      </c>
      <c r="K144" s="4">
        <v>4.7794117647058813E-2</v>
      </c>
      <c r="L144" s="4">
        <v>8.2677165354330714E-2</v>
      </c>
      <c r="M144" s="4">
        <v>5.5555555555555552E-2</v>
      </c>
    </row>
    <row r="145" spans="1:13" x14ac:dyDescent="0.35">
      <c r="A145" s="6"/>
      <c r="B145" s="2" t="s">
        <v>175</v>
      </c>
      <c r="C145" s="4">
        <v>0</v>
      </c>
      <c r="D145" s="4">
        <v>1.6339869281045753E-2</v>
      </c>
      <c r="E145" s="4">
        <v>6.5359477124183009E-3</v>
      </c>
      <c r="F145" s="4">
        <v>1.3513513513513514E-2</v>
      </c>
      <c r="G145" s="4">
        <v>1.2448132780082987E-2</v>
      </c>
      <c r="H145" s="4">
        <v>2.8070175438596492E-2</v>
      </c>
      <c r="I145" s="4">
        <v>1.7391304347826087E-2</v>
      </c>
      <c r="J145" s="4">
        <v>1.577287066246057E-2</v>
      </c>
      <c r="K145" s="4">
        <v>2.1390374331550804E-2</v>
      </c>
      <c r="L145" s="4">
        <v>3.2051282051282048E-2</v>
      </c>
      <c r="M145" s="4">
        <v>6.6666666666666666E-2</v>
      </c>
    </row>
    <row r="146" spans="1:13" x14ac:dyDescent="0.35">
      <c r="A146" s="6"/>
      <c r="B146" s="2" t="s">
        <v>176</v>
      </c>
      <c r="C146" s="4">
        <v>7.7519379844961239E-3</v>
      </c>
      <c r="D146" s="4">
        <v>1.1450381679389313E-2</v>
      </c>
      <c r="E146" s="4">
        <v>1.2295081967213115E-2</v>
      </c>
      <c r="F146" s="4">
        <v>9.433962264150943E-3</v>
      </c>
      <c r="G146" s="4">
        <v>2.1367521367521368E-2</v>
      </c>
      <c r="H146" s="4">
        <v>1.3157894736842105E-2</v>
      </c>
      <c r="I146" s="4">
        <v>8.1632653061224497E-3</v>
      </c>
      <c r="J146" s="4">
        <v>2.1186440677966097E-2</v>
      </c>
      <c r="K146" s="4">
        <v>3.7735849056603758E-2</v>
      </c>
      <c r="L146" s="4">
        <v>1.6216216216216217E-2</v>
      </c>
      <c r="M146" s="4">
        <v>3.5714285714285712E-2</v>
      </c>
    </row>
    <row r="147" spans="1:13" x14ac:dyDescent="0.35">
      <c r="A147" s="6"/>
      <c r="B147" s="2" t="s">
        <v>177</v>
      </c>
      <c r="C147" s="4">
        <v>0</v>
      </c>
      <c r="D147" s="4">
        <v>4.1493775933609959E-3</v>
      </c>
      <c r="E147" s="4">
        <v>4.3668122270742356E-3</v>
      </c>
      <c r="F147" s="4">
        <v>2.5510204081632654E-2</v>
      </c>
      <c r="G147" s="4">
        <v>1.646090534979424E-2</v>
      </c>
      <c r="H147" s="4">
        <v>0</v>
      </c>
      <c r="I147" s="4">
        <v>1.4285714285714285E-2</v>
      </c>
      <c r="J147" s="4">
        <v>1.7316017316017316E-2</v>
      </c>
      <c r="K147" s="4">
        <v>4.2918454935622317E-3</v>
      </c>
      <c r="L147" s="4">
        <v>5.4945054945054944E-2</v>
      </c>
      <c r="M147" s="4">
        <v>5.2380952380952382E-2</v>
      </c>
    </row>
    <row r="148" spans="1:13" x14ac:dyDescent="0.35">
      <c r="A148" s="6"/>
      <c r="B148" s="2" t="s">
        <v>178</v>
      </c>
      <c r="C148" s="4">
        <v>4.570383912248629E-3</v>
      </c>
      <c r="D148" s="4">
        <v>8.5470085470085479E-3</v>
      </c>
      <c r="E148" s="4">
        <v>8.1154192966636611E-3</v>
      </c>
      <c r="F148" s="4">
        <v>8.6655112651646445E-3</v>
      </c>
      <c r="G148" s="4">
        <v>1.7500000000000002E-2</v>
      </c>
      <c r="H148" s="4">
        <v>1.1764705882352941E-2</v>
      </c>
      <c r="I148" s="4">
        <v>1.4064697609001406E-2</v>
      </c>
      <c r="J148" s="4">
        <v>1.0482180293501051E-2</v>
      </c>
      <c r="K148" s="4">
        <v>1.3715710723192023E-2</v>
      </c>
      <c r="L148" s="4">
        <v>2.3331173039533377E-2</v>
      </c>
      <c r="M148" s="4">
        <v>3.0283911671924291E-2</v>
      </c>
    </row>
    <row r="149" spans="1:13" x14ac:dyDescent="0.35">
      <c r="A149" s="6"/>
      <c r="B149" s="2" t="s">
        <v>179</v>
      </c>
      <c r="C149" s="4">
        <v>0</v>
      </c>
      <c r="D149" s="4">
        <v>0</v>
      </c>
      <c r="E149" s="4">
        <v>6.8027210884353739E-3</v>
      </c>
      <c r="F149" s="4">
        <v>0</v>
      </c>
      <c r="G149" s="4">
        <v>1.0416666666666666E-2</v>
      </c>
      <c r="H149" s="4">
        <v>3.7174721189591076E-3</v>
      </c>
      <c r="I149" s="4">
        <v>1.4035087719298246E-2</v>
      </c>
      <c r="J149" s="4">
        <v>8.2304526748971218E-3</v>
      </c>
      <c r="K149" s="4">
        <v>1.0380622837370238E-2</v>
      </c>
      <c r="L149" s="4">
        <v>2.1126760563380281E-2</v>
      </c>
      <c r="M149" s="4">
        <v>3.3057851239669422E-2</v>
      </c>
    </row>
    <row r="150" spans="1:13" x14ac:dyDescent="0.35">
      <c r="A150" s="6"/>
      <c r="B150" s="2" t="s">
        <v>180</v>
      </c>
      <c r="C150" s="4">
        <v>0</v>
      </c>
      <c r="D150" s="4">
        <v>0</v>
      </c>
      <c r="E150" s="4">
        <v>1.5384615384615385E-2</v>
      </c>
      <c r="F150" s="4">
        <v>0</v>
      </c>
      <c r="G150" s="4">
        <v>2.1276595744680851E-2</v>
      </c>
      <c r="H150" s="4">
        <v>3.5087719298245612E-2</v>
      </c>
      <c r="I150" s="4">
        <v>0</v>
      </c>
      <c r="J150" s="4">
        <v>4.7619047619047637E-2</v>
      </c>
      <c r="K150" s="4">
        <v>0</v>
      </c>
      <c r="L150" s="4">
        <v>0.05</v>
      </c>
      <c r="M150" s="4">
        <v>6.8181818181818177E-2</v>
      </c>
    </row>
    <row r="151" spans="1:13" x14ac:dyDescent="0.35">
      <c r="A151" s="6"/>
      <c r="B151" s="2" t="s">
        <v>181</v>
      </c>
      <c r="C151" s="4">
        <v>0</v>
      </c>
      <c r="D151" s="4">
        <v>1.3157894736842105E-2</v>
      </c>
      <c r="E151" s="4">
        <v>7.6923076923076927E-3</v>
      </c>
      <c r="F151" s="4">
        <v>7.874015748031496E-3</v>
      </c>
      <c r="G151" s="4">
        <v>1.4925373134328358E-2</v>
      </c>
      <c r="H151" s="4">
        <v>8.130081300813009E-3</v>
      </c>
      <c r="I151" s="4">
        <v>0</v>
      </c>
      <c r="J151" s="4">
        <v>9.1743119266055051E-3</v>
      </c>
      <c r="K151" s="4">
        <v>4.2857142857142871E-2</v>
      </c>
      <c r="L151" s="4">
        <v>7.3529411764705881E-3</v>
      </c>
      <c r="M151" s="4">
        <v>1.5748031496062992E-2</v>
      </c>
    </row>
    <row r="152" spans="1:13" x14ac:dyDescent="0.35">
      <c r="A152" s="6"/>
      <c r="B152" s="2" t="s">
        <v>182</v>
      </c>
      <c r="C152" s="4">
        <v>1.935483870967742E-2</v>
      </c>
      <c r="D152" s="4">
        <v>2.8571428571428571E-2</v>
      </c>
      <c r="E152" s="4">
        <v>3.0303030303030304E-2</v>
      </c>
      <c r="F152" s="4">
        <v>1.7857142857142856E-2</v>
      </c>
      <c r="G152" s="4">
        <v>1.6949152542372881E-2</v>
      </c>
      <c r="H152" s="4">
        <v>1.7391304347826087E-2</v>
      </c>
      <c r="I152" s="4">
        <v>3.7593984962406013E-2</v>
      </c>
      <c r="J152" s="4">
        <v>2.857142857142856E-2</v>
      </c>
      <c r="K152" s="4">
        <v>3.048780487804878E-2</v>
      </c>
      <c r="L152" s="4">
        <v>2.1276595744680851E-2</v>
      </c>
      <c r="M152" s="4">
        <v>8.3969465648854963E-2</v>
      </c>
    </row>
    <row r="153" spans="1:13" x14ac:dyDescent="0.35">
      <c r="A153" s="6"/>
      <c r="B153" s="2" t="s">
        <v>183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35">
      <c r="A154" s="6"/>
      <c r="B154" s="2" t="s">
        <v>33</v>
      </c>
      <c r="C154" s="4">
        <v>1.144950767117014E-2</v>
      </c>
      <c r="D154" s="4">
        <v>1.2956964368347987E-2</v>
      </c>
      <c r="E154" s="4">
        <v>1.357360168499883E-2</v>
      </c>
      <c r="F154" s="4">
        <v>1.5637016149705203E-2</v>
      </c>
      <c r="G154" s="4">
        <v>1.7959396147839667E-2</v>
      </c>
      <c r="H154" s="4">
        <v>1.7651573292402148E-2</v>
      </c>
      <c r="I154" s="4">
        <v>2.0433284096504186E-2</v>
      </c>
      <c r="J154" s="4">
        <v>2.0397624580428611E-2</v>
      </c>
      <c r="K154" s="4">
        <v>2.9246892517670004E-2</v>
      </c>
      <c r="L154" s="4">
        <v>3.4375807702248642E-2</v>
      </c>
      <c r="M154" s="4">
        <v>3.4722222222222224E-2</v>
      </c>
    </row>
    <row r="155" spans="1:13" x14ac:dyDescent="0.35">
      <c r="A155" s="6"/>
      <c r="B155" s="2" t="s">
        <v>34</v>
      </c>
      <c r="C155" s="4">
        <v>8.6956521739130436E-3</v>
      </c>
      <c r="D155" s="4">
        <v>1.7391304347826087E-2</v>
      </c>
      <c r="E155" s="4">
        <v>1.8691588785046728E-2</v>
      </c>
      <c r="F155" s="4">
        <v>1.8018018018018018E-2</v>
      </c>
      <c r="G155" s="4">
        <v>4.1666666666666664E-2</v>
      </c>
      <c r="H155" s="4">
        <v>4.3956043956043959E-2</v>
      </c>
      <c r="I155" s="4">
        <v>1.6129032258064516E-2</v>
      </c>
      <c r="J155" s="4">
        <v>1.9607843137254902E-2</v>
      </c>
      <c r="K155" s="4">
        <v>3.787878787878788E-2</v>
      </c>
      <c r="L155" s="4">
        <v>6.25E-2</v>
      </c>
      <c r="M155" s="4">
        <v>8.8235294117647065E-2</v>
      </c>
    </row>
    <row r="156" spans="1:13" x14ac:dyDescent="0.35">
      <c r="A156" s="6"/>
      <c r="B156" s="2" t="s">
        <v>184</v>
      </c>
      <c r="C156" s="4">
        <v>0</v>
      </c>
      <c r="D156" s="4">
        <v>4.6296296296296294E-3</v>
      </c>
      <c r="E156" s="4">
        <v>5.076142131979695E-3</v>
      </c>
      <c r="F156" s="4">
        <v>5.3191489361702126E-3</v>
      </c>
      <c r="G156" s="4">
        <v>5.6179775280898875E-3</v>
      </c>
      <c r="H156" s="4">
        <v>5.2910052910052907E-3</v>
      </c>
      <c r="I156" s="4">
        <v>0</v>
      </c>
      <c r="J156" s="4">
        <v>2.4752475247524754E-2</v>
      </c>
      <c r="K156" s="4">
        <v>2.6315789473684206E-2</v>
      </c>
      <c r="L156" s="4">
        <v>2.0100502512562814E-2</v>
      </c>
      <c r="M156" s="4">
        <v>5.1020408163265302E-3</v>
      </c>
    </row>
    <row r="157" spans="1:13" x14ac:dyDescent="0.35">
      <c r="A157" s="6"/>
      <c r="B157" s="2" t="s">
        <v>185</v>
      </c>
      <c r="C157" s="4">
        <v>1.0526315789473684E-2</v>
      </c>
      <c r="D157" s="4">
        <v>0</v>
      </c>
      <c r="E157" s="4">
        <v>0</v>
      </c>
      <c r="F157" s="4">
        <v>1.2048192771084338E-2</v>
      </c>
      <c r="G157" s="4">
        <v>0</v>
      </c>
      <c r="H157" s="4">
        <v>2.1276595744680851E-2</v>
      </c>
      <c r="I157" s="4">
        <v>0</v>
      </c>
      <c r="J157" s="4">
        <v>2.564102564102564E-2</v>
      </c>
      <c r="K157" s="4">
        <v>1.5625E-2</v>
      </c>
      <c r="L157" s="4">
        <v>2.5316455696202531E-2</v>
      </c>
      <c r="M157" s="4">
        <v>1.5873015873015872E-2</v>
      </c>
    </row>
    <row r="158" spans="1:13" x14ac:dyDescent="0.35">
      <c r="A158" s="6"/>
      <c r="B158" s="2" t="s">
        <v>35</v>
      </c>
      <c r="C158" s="4">
        <v>2.8301886792452831E-2</v>
      </c>
      <c r="D158" s="4">
        <v>0.11764705882352941</v>
      </c>
      <c r="E158" s="4">
        <v>1.9230769230769232E-2</v>
      </c>
      <c r="F158" s="4">
        <v>1.0869565217391304E-2</v>
      </c>
      <c r="G158" s="4">
        <v>3.8834951456310676E-2</v>
      </c>
      <c r="H158" s="4">
        <v>4.0816326530612242E-2</v>
      </c>
      <c r="I158" s="4">
        <v>3.4188034188034191E-2</v>
      </c>
      <c r="J158" s="4">
        <v>1.020408163265306E-2</v>
      </c>
      <c r="K158" s="4">
        <v>4.3478260869565216E-2</v>
      </c>
      <c r="L158" s="4">
        <v>4.3478260869565216E-2</v>
      </c>
      <c r="M158" s="4">
        <v>3.4090909090909088E-2</v>
      </c>
    </row>
    <row r="159" spans="1:13" x14ac:dyDescent="0.35">
      <c r="A159" s="6"/>
      <c r="B159" s="2" t="s">
        <v>186</v>
      </c>
      <c r="C159" s="4">
        <v>1.6393442622950821E-2</v>
      </c>
      <c r="D159" s="4">
        <v>0</v>
      </c>
      <c r="E159" s="4">
        <v>2.8571428571428571E-2</v>
      </c>
      <c r="F159" s="4">
        <v>0.06</v>
      </c>
      <c r="G159" s="4">
        <v>6.3492063492063489E-2</v>
      </c>
      <c r="H159" s="4">
        <v>2.0408163265306121E-2</v>
      </c>
      <c r="I159" s="4">
        <v>3.1746031746031744E-2</v>
      </c>
      <c r="J159" s="4">
        <v>1.9230769230769225E-2</v>
      </c>
      <c r="K159" s="4">
        <v>7.5471698113207517E-2</v>
      </c>
      <c r="L159" s="4">
        <v>0.04</v>
      </c>
      <c r="M159" s="4">
        <v>7.2727272727272724E-2</v>
      </c>
    </row>
    <row r="160" spans="1:13" x14ac:dyDescent="0.35">
      <c r="A160" s="6"/>
      <c r="B160" s="2" t="s">
        <v>187</v>
      </c>
      <c r="C160" s="4">
        <v>5.0505050505050509E-3</v>
      </c>
      <c r="D160" s="4">
        <v>1.8248175182481751E-3</v>
      </c>
      <c r="E160" s="4">
        <v>1.4492753623188406E-2</v>
      </c>
      <c r="F160" s="4">
        <v>1.107011070110701E-2</v>
      </c>
      <c r="G160" s="4">
        <v>1.3307984790874524E-2</v>
      </c>
      <c r="H160" s="4">
        <v>1.1787819253438114E-2</v>
      </c>
      <c r="I160" s="4">
        <v>1.7857142857142856E-2</v>
      </c>
      <c r="J160" s="4">
        <v>2.1186440677966097E-2</v>
      </c>
      <c r="K160" s="4">
        <v>2.4253731343283593E-2</v>
      </c>
      <c r="L160" s="4">
        <v>1.968503937007874E-2</v>
      </c>
      <c r="M160" s="4">
        <v>2.4856596558317401E-2</v>
      </c>
    </row>
    <row r="161" spans="1:13" x14ac:dyDescent="0.35">
      <c r="A161" s="6"/>
      <c r="B161" s="2" t="s">
        <v>188</v>
      </c>
      <c r="C161" s="4">
        <v>2.6572187776793621E-3</v>
      </c>
      <c r="D161" s="4">
        <v>9.2081031307550648E-4</v>
      </c>
      <c r="E161" s="4">
        <v>1.9782393669634025E-3</v>
      </c>
      <c r="F161" s="4">
        <v>2.012072434607646E-3</v>
      </c>
      <c r="G161" s="4">
        <v>1.9286403085824494E-3</v>
      </c>
      <c r="H161" s="4">
        <v>2.8089887640449437E-3</v>
      </c>
      <c r="I161" s="4">
        <v>1.9286403085824494E-3</v>
      </c>
      <c r="J161" s="4">
        <v>3.8535645472061648E-3</v>
      </c>
      <c r="K161" s="4">
        <v>3.8797284190106697E-3</v>
      </c>
      <c r="L161" s="4">
        <v>0</v>
      </c>
      <c r="M161" s="4">
        <v>6.1664953751284684E-3</v>
      </c>
    </row>
    <row r="162" spans="1:13" x14ac:dyDescent="0.35">
      <c r="A162" s="6"/>
      <c r="B162" s="2" t="s">
        <v>189</v>
      </c>
      <c r="C162" s="4">
        <v>8.1967213114754103E-3</v>
      </c>
      <c r="D162" s="4">
        <v>2.7272727272727271E-2</v>
      </c>
      <c r="E162" s="4">
        <v>1.7094017094017096E-2</v>
      </c>
      <c r="F162" s="4">
        <v>0.02</v>
      </c>
      <c r="G162" s="4">
        <v>2.9126213592233011E-2</v>
      </c>
      <c r="H162" s="4">
        <v>2.9702970297029702E-2</v>
      </c>
      <c r="I162" s="4">
        <v>1.1904761904761904E-2</v>
      </c>
      <c r="J162" s="4">
        <v>3.5294117647058823E-2</v>
      </c>
      <c r="K162" s="4">
        <v>4.8192771084337345E-2</v>
      </c>
      <c r="L162" s="4">
        <v>4.2553191489361701E-2</v>
      </c>
      <c r="M162" s="4">
        <v>6.0240963855421686E-2</v>
      </c>
    </row>
    <row r="163" spans="1:13" x14ac:dyDescent="0.35">
      <c r="A163" s="6"/>
      <c r="B163" s="2" t="s">
        <v>36</v>
      </c>
      <c r="C163" s="4">
        <v>4.1691483025610484E-3</v>
      </c>
      <c r="D163" s="4">
        <v>5.6733353239773066E-3</v>
      </c>
      <c r="E163" s="4">
        <v>4.8178259560373382E-3</v>
      </c>
      <c r="F163" s="4">
        <v>9.9728014505893019E-3</v>
      </c>
      <c r="G163" s="4">
        <v>1.0306622004637981E-2</v>
      </c>
      <c r="H163" s="4">
        <v>2.0347394540942927E-2</v>
      </c>
      <c r="I163" s="4">
        <v>2.3551577955723033E-2</v>
      </c>
      <c r="J163" s="4">
        <v>2.009925558312655E-2</v>
      </c>
      <c r="K163" s="4">
        <v>3.2397959183673469E-2</v>
      </c>
      <c r="L163" s="4">
        <v>3.7648272305312015E-2</v>
      </c>
      <c r="M163" s="4">
        <v>3.446528129751647E-2</v>
      </c>
    </row>
    <row r="164" spans="1:13" x14ac:dyDescent="0.35">
      <c r="A164" s="6"/>
      <c r="B164" s="2" t="s">
        <v>190</v>
      </c>
      <c r="C164" s="4">
        <v>0</v>
      </c>
      <c r="D164" s="4">
        <v>5.5555555555555552E-2</v>
      </c>
      <c r="E164" s="4">
        <v>0</v>
      </c>
      <c r="F164" s="4">
        <v>5.2631578947368418E-2</v>
      </c>
      <c r="G164" s="4">
        <v>0</v>
      </c>
      <c r="H164" s="4">
        <v>0</v>
      </c>
      <c r="I164" s="4"/>
      <c r="J164" s="4">
        <v>8.3333333333333315E-2</v>
      </c>
      <c r="K164" s="4">
        <v>4.7619047619047637E-2</v>
      </c>
      <c r="L164" s="4">
        <v>5.8823529411764705E-2</v>
      </c>
      <c r="M164" s="4">
        <v>4.5454545454545456E-2</v>
      </c>
    </row>
    <row r="165" spans="1:13" x14ac:dyDescent="0.35">
      <c r="A165" s="6"/>
      <c r="B165" s="2" t="s">
        <v>191</v>
      </c>
      <c r="C165" s="4">
        <v>1.0479041916167664E-2</v>
      </c>
      <c r="D165" s="4">
        <v>1.6643550624133148E-2</v>
      </c>
      <c r="E165" s="4">
        <v>7.429420505200594E-3</v>
      </c>
      <c r="F165" s="4">
        <v>8.321775312066574E-3</v>
      </c>
      <c r="G165" s="4">
        <v>1.2430939226519336E-2</v>
      </c>
      <c r="H165" s="4">
        <v>8.1411126187245584E-3</v>
      </c>
      <c r="I165" s="4">
        <v>1.4184397163120567E-2</v>
      </c>
      <c r="J165" s="4">
        <v>8.8607594936708882E-3</v>
      </c>
      <c r="K165" s="4">
        <v>2.2123893805309738E-2</v>
      </c>
      <c r="L165" s="4">
        <v>2.3711340206185566E-2</v>
      </c>
      <c r="M165" s="4">
        <v>1.60075329566855E-2</v>
      </c>
    </row>
    <row r="166" spans="1:13" x14ac:dyDescent="0.35">
      <c r="A166" s="6"/>
      <c r="B166" s="2" t="s">
        <v>192</v>
      </c>
      <c r="C166" s="4">
        <v>0</v>
      </c>
      <c r="D166" s="4">
        <v>0</v>
      </c>
      <c r="E166" s="4">
        <v>4.5454545454545456E-2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4.7619047619047616E-2</v>
      </c>
    </row>
    <row r="167" spans="1:13" x14ac:dyDescent="0.35">
      <c r="A167" s="6"/>
      <c r="B167" s="2" t="s">
        <v>37</v>
      </c>
      <c r="C167" s="4">
        <v>2.0570948782535684E-2</v>
      </c>
      <c r="D167" s="4">
        <v>8.5365853658536592E-3</v>
      </c>
      <c r="E167" s="4">
        <v>9.3004448038819243E-3</v>
      </c>
      <c r="F167" s="4">
        <v>1.1470708725931995E-2</v>
      </c>
      <c r="G167" s="4">
        <v>1.078582434514638E-2</v>
      </c>
      <c r="H167" s="4">
        <v>1.6140865737344093E-2</v>
      </c>
      <c r="I167" s="4">
        <v>1.9535569480280134E-2</v>
      </c>
      <c r="J167" s="4">
        <v>2.0631067961165057E-2</v>
      </c>
      <c r="K167" s="4">
        <v>2.0096762188314105E-2</v>
      </c>
      <c r="L167" s="4">
        <v>2.7279521674140508E-2</v>
      </c>
      <c r="M167" s="4">
        <v>3.7757009345794394E-2</v>
      </c>
    </row>
    <row r="168" spans="1:13" x14ac:dyDescent="0.35">
      <c r="A168" s="6"/>
      <c r="B168" s="2" t="s">
        <v>193</v>
      </c>
      <c r="C168" s="4">
        <v>1.3698630136986301E-2</v>
      </c>
      <c r="D168" s="4">
        <v>1.9512195121951219E-2</v>
      </c>
      <c r="E168" s="4">
        <v>1.2012012012012012E-2</v>
      </c>
      <c r="F168" s="4">
        <v>9.1743119266055051E-3</v>
      </c>
      <c r="G168" s="4">
        <v>1.0067114093959731E-2</v>
      </c>
      <c r="H168" s="4">
        <v>1.6949152542372881E-2</v>
      </c>
      <c r="I168" s="4">
        <v>1.2500000000000001E-2</v>
      </c>
      <c r="J168" s="4">
        <v>1.2779552715654952E-2</v>
      </c>
      <c r="K168" s="4">
        <v>3.5830618892508152E-2</v>
      </c>
      <c r="L168" s="4">
        <v>1.8050541516245487E-2</v>
      </c>
      <c r="M168" s="4">
        <v>4.363636363636364E-2</v>
      </c>
    </row>
    <row r="169" spans="1:13" x14ac:dyDescent="0.35">
      <c r="A169" s="6"/>
      <c r="B169" s="2" t="s">
        <v>194</v>
      </c>
      <c r="C169" s="4">
        <v>3.4482758620689655E-2</v>
      </c>
      <c r="D169" s="4">
        <v>1.8181818181818181E-2</v>
      </c>
      <c r="E169" s="4">
        <v>1.8518518518518517E-2</v>
      </c>
      <c r="F169" s="4">
        <v>1.8867924528301886E-2</v>
      </c>
      <c r="G169" s="4">
        <v>0</v>
      </c>
      <c r="H169" s="4">
        <v>0</v>
      </c>
      <c r="I169" s="4">
        <v>0.02</v>
      </c>
      <c r="J169" s="4">
        <v>0</v>
      </c>
      <c r="K169" s="4">
        <v>1.6393442622950821E-2</v>
      </c>
      <c r="L169" s="4">
        <v>7.2727272727272724E-2</v>
      </c>
      <c r="M169" s="4">
        <v>6.25E-2</v>
      </c>
    </row>
    <row r="170" spans="1:13" x14ac:dyDescent="0.35">
      <c r="A170" s="6"/>
      <c r="B170" s="2" t="s">
        <v>195</v>
      </c>
      <c r="C170" s="4">
        <v>9.1743119266055051E-3</v>
      </c>
      <c r="D170" s="4">
        <v>8.0645161290322578E-3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0.04</v>
      </c>
      <c r="L170" s="4">
        <v>2.8301886792452831E-2</v>
      </c>
      <c r="M170" s="4">
        <v>3.2967032967032968E-2</v>
      </c>
    </row>
    <row r="171" spans="1:13" x14ac:dyDescent="0.35">
      <c r="A171" s="6"/>
      <c r="B171" s="2" t="s">
        <v>196</v>
      </c>
      <c r="C171" s="4">
        <v>1.1627906976744186E-2</v>
      </c>
      <c r="D171" s="4">
        <v>0</v>
      </c>
      <c r="E171" s="4">
        <v>2.9166666666666667E-2</v>
      </c>
      <c r="F171" s="4">
        <v>4.072398190045249E-2</v>
      </c>
      <c r="G171" s="4">
        <v>4.5248868778280542E-2</v>
      </c>
      <c r="H171" s="4">
        <v>7.3913043478260873E-2</v>
      </c>
      <c r="I171" s="4">
        <v>7.0175438596491224E-2</v>
      </c>
      <c r="J171" s="4">
        <v>6.8965517241379309E-2</v>
      </c>
      <c r="K171" s="4">
        <v>6.4102564102564097E-2</v>
      </c>
      <c r="L171" s="4">
        <v>9.6330275229357804E-2</v>
      </c>
      <c r="M171" s="4">
        <v>0.12556053811659193</v>
      </c>
    </row>
    <row r="172" spans="1:13" x14ac:dyDescent="0.35">
      <c r="A172" s="6"/>
      <c r="B172" s="2" t="s">
        <v>197</v>
      </c>
      <c r="C172" s="4">
        <v>9.5563139931740607E-3</v>
      </c>
      <c r="D172" s="4">
        <v>2.5128951196931624E-2</v>
      </c>
      <c r="E172" s="4">
        <v>2.2313176656984419E-2</v>
      </c>
      <c r="F172" s="4">
        <v>2.6687805522526094E-2</v>
      </c>
      <c r="G172" s="4">
        <v>3.2063263838964774E-2</v>
      </c>
      <c r="H172" s="4">
        <v>2.9699200406142913E-2</v>
      </c>
      <c r="I172" s="4">
        <v>4.0114613180515762E-2</v>
      </c>
      <c r="J172" s="4">
        <v>3.1415594246782738E-2</v>
      </c>
      <c r="K172" s="4">
        <v>4.2989571263035931E-2</v>
      </c>
      <c r="L172" s="4">
        <v>4.873073436083409E-2</v>
      </c>
      <c r="M172" s="4">
        <v>5.5474452554744529E-2</v>
      </c>
    </row>
    <row r="173" spans="1:13" x14ac:dyDescent="0.35">
      <c r="A173" s="6"/>
      <c r="B173" s="2" t="s">
        <v>198</v>
      </c>
      <c r="C173" s="4">
        <v>9.7560975609756097E-3</v>
      </c>
      <c r="D173" s="4">
        <v>2.4213075060532689E-3</v>
      </c>
      <c r="E173" s="4">
        <v>7.7319587628865982E-3</v>
      </c>
      <c r="F173" s="4">
        <v>0</v>
      </c>
      <c r="G173" s="4">
        <v>2.9411764705882353E-3</v>
      </c>
      <c r="H173" s="4">
        <v>2.6595744680851063E-3</v>
      </c>
      <c r="I173" s="4">
        <v>1.2626262626262626E-2</v>
      </c>
      <c r="J173" s="4">
        <v>7.9365079365079343E-3</v>
      </c>
      <c r="K173" s="4">
        <v>9.9009900990099011E-3</v>
      </c>
      <c r="L173" s="4">
        <v>2.359882005899705E-2</v>
      </c>
      <c r="M173" s="4">
        <v>1.5665796344647518E-2</v>
      </c>
    </row>
    <row r="174" spans="1:13" x14ac:dyDescent="0.35">
      <c r="A174" s="6"/>
      <c r="B174" s="2" t="s">
        <v>199</v>
      </c>
      <c r="C174" s="4">
        <v>0</v>
      </c>
      <c r="D174" s="4">
        <v>0</v>
      </c>
      <c r="E174" s="4">
        <v>1.3986013986013986E-2</v>
      </c>
      <c r="F174" s="4">
        <v>0</v>
      </c>
      <c r="G174" s="4">
        <v>7.246376811594203E-3</v>
      </c>
      <c r="H174" s="4">
        <v>2.7972027972027972E-2</v>
      </c>
      <c r="I174" s="4">
        <v>1.4492753623188406E-2</v>
      </c>
      <c r="J174" s="4">
        <v>0</v>
      </c>
      <c r="K174" s="4">
        <v>1.4184397163120564E-2</v>
      </c>
      <c r="L174" s="4">
        <v>1.6E-2</v>
      </c>
      <c r="M174" s="4">
        <v>2.3076923076923078E-2</v>
      </c>
    </row>
    <row r="175" spans="1:13" x14ac:dyDescent="0.35">
      <c r="A175" s="6"/>
      <c r="B175" s="2" t="s">
        <v>200</v>
      </c>
      <c r="C175" s="4">
        <v>0</v>
      </c>
      <c r="D175" s="4"/>
      <c r="E175" s="4">
        <v>0</v>
      </c>
      <c r="F175" s="4">
        <v>0.1</v>
      </c>
      <c r="G175" s="4">
        <v>0</v>
      </c>
      <c r="H175" s="4">
        <v>0.1111111111111111</v>
      </c>
      <c r="I175" s="4">
        <v>0</v>
      </c>
      <c r="J175" s="4">
        <v>0.11111111111111112</v>
      </c>
      <c r="K175" s="4">
        <v>0</v>
      </c>
      <c r="L175" s="4">
        <v>0</v>
      </c>
      <c r="M175" s="4">
        <v>0.13333333333333333</v>
      </c>
    </row>
    <row r="176" spans="1:13" x14ac:dyDescent="0.35">
      <c r="A176" s="6"/>
      <c r="B176" s="2" t="s">
        <v>201</v>
      </c>
      <c r="C176" s="4">
        <v>1.1603375527426161E-2</v>
      </c>
      <c r="D176" s="4">
        <v>1.2285012285012285E-3</v>
      </c>
      <c r="E176" s="4">
        <v>8.948545861297539E-3</v>
      </c>
      <c r="F176" s="4">
        <v>1.6393442622950821E-2</v>
      </c>
      <c r="G176" s="4">
        <v>1.2077294685990338E-2</v>
      </c>
      <c r="H176" s="4">
        <v>1.9184652278177457E-2</v>
      </c>
      <c r="I176" s="4">
        <v>1.1655011655011656E-2</v>
      </c>
      <c r="J176" s="4">
        <v>1.3959390862944163E-2</v>
      </c>
      <c r="K176" s="4">
        <v>2.5862068965517244E-2</v>
      </c>
      <c r="L176" s="4">
        <v>3.2258064516129031E-2</v>
      </c>
      <c r="M176" s="4">
        <v>2.8901734104046242E-2</v>
      </c>
    </row>
    <row r="177" spans="1:13" x14ac:dyDescent="0.35">
      <c r="A177" s="6"/>
      <c r="B177" s="2" t="s">
        <v>202</v>
      </c>
      <c r="C177" s="4">
        <v>4.3988269794721412E-3</v>
      </c>
      <c r="D177" s="4">
        <v>2.7816411682892906E-3</v>
      </c>
      <c r="E177" s="4">
        <v>2.8368794326241137E-3</v>
      </c>
      <c r="F177" s="4">
        <v>3.0165912518853697E-3</v>
      </c>
      <c r="G177" s="4">
        <v>6.1255742725880554E-3</v>
      </c>
      <c r="H177" s="4">
        <v>1.4814814814814815E-2</v>
      </c>
      <c r="I177" s="4">
        <v>8.9628681177976958E-3</v>
      </c>
      <c r="J177" s="4">
        <v>1.1188811188811189E-2</v>
      </c>
      <c r="K177" s="4">
        <v>1.9345238095238089E-2</v>
      </c>
      <c r="L177" s="4">
        <v>3.9436619718309862E-2</v>
      </c>
      <c r="M177" s="4">
        <v>3.4340659340659344E-2</v>
      </c>
    </row>
    <row r="178" spans="1:13" x14ac:dyDescent="0.35">
      <c r="A178" s="6"/>
      <c r="B178" s="2" t="s">
        <v>203</v>
      </c>
      <c r="C178" s="4">
        <v>0</v>
      </c>
      <c r="D178" s="4">
        <v>3.0769230769230771E-2</v>
      </c>
      <c r="E178" s="4">
        <v>7.8125E-3</v>
      </c>
      <c r="F178" s="4">
        <v>1.3071895424836602E-2</v>
      </c>
      <c r="G178" s="4">
        <v>2.9629629629629631E-2</v>
      </c>
      <c r="H178" s="4">
        <v>7.246376811594203E-3</v>
      </c>
      <c r="I178" s="4">
        <v>5.6451612903225805E-2</v>
      </c>
      <c r="J178" s="4">
        <v>4.651162790697675E-2</v>
      </c>
      <c r="K178" s="4">
        <v>5.3097345132743362E-2</v>
      </c>
      <c r="L178" s="4">
        <v>7.3684210526315783E-2</v>
      </c>
      <c r="M178" s="4">
        <v>9.0909090909090912E-2</v>
      </c>
    </row>
    <row r="179" spans="1:13" x14ac:dyDescent="0.35">
      <c r="A179" s="6"/>
      <c r="B179" s="2" t="s">
        <v>204</v>
      </c>
      <c r="C179" s="4">
        <v>7.4349442379182153E-3</v>
      </c>
      <c r="D179" s="4">
        <v>0</v>
      </c>
      <c r="E179" s="4">
        <v>1.5151515151515152E-2</v>
      </c>
      <c r="F179" s="4">
        <v>9.6153846153846159E-3</v>
      </c>
      <c r="G179" s="4">
        <v>9.433962264150943E-3</v>
      </c>
      <c r="H179" s="4">
        <v>2.2522522522522521E-2</v>
      </c>
      <c r="I179" s="4">
        <v>8.23045267489712E-3</v>
      </c>
      <c r="J179" s="4">
        <v>1.0695187165775402E-2</v>
      </c>
      <c r="K179" s="4">
        <v>1.5625E-2</v>
      </c>
      <c r="L179" s="4">
        <v>1.6393442622950821E-2</v>
      </c>
      <c r="M179" s="4">
        <v>6.8493150684931503E-3</v>
      </c>
    </row>
    <row r="180" spans="1:13" x14ac:dyDescent="0.35">
      <c r="A180" s="6"/>
      <c r="B180" s="2" t="s">
        <v>205</v>
      </c>
      <c r="C180" s="4">
        <v>8.8495575221238937E-3</v>
      </c>
      <c r="D180" s="4">
        <v>8.2749840865690635E-3</v>
      </c>
      <c r="E180" s="4">
        <v>7.6486013986013989E-3</v>
      </c>
      <c r="F180" s="4">
        <v>9.5280301351650786E-3</v>
      </c>
      <c r="G180" s="4">
        <v>1.041195110909914E-2</v>
      </c>
      <c r="H180" s="4">
        <v>1.3885778275475923E-2</v>
      </c>
      <c r="I180" s="4">
        <v>1.2964563526361279E-2</v>
      </c>
      <c r="J180" s="4">
        <v>1.3336962438758848E-2</v>
      </c>
      <c r="K180" s="4">
        <v>1.4234875444839855E-2</v>
      </c>
      <c r="L180" s="4">
        <v>2.1502521900716751E-2</v>
      </c>
      <c r="M180" s="4">
        <v>2.1774193548387097E-2</v>
      </c>
    </row>
    <row r="181" spans="1:13" x14ac:dyDescent="0.35">
      <c r="A181" s="6"/>
      <c r="B181" s="2" t="s">
        <v>206</v>
      </c>
      <c r="C181" s="4">
        <v>5.1282051282051282E-3</v>
      </c>
      <c r="D181" s="4">
        <v>0</v>
      </c>
      <c r="E181" s="4">
        <v>0</v>
      </c>
      <c r="F181" s="4">
        <v>6.4516129032258064E-3</v>
      </c>
      <c r="G181" s="4">
        <v>0</v>
      </c>
      <c r="H181" s="4">
        <v>2.7210884353741496E-2</v>
      </c>
      <c r="I181" s="4">
        <v>0</v>
      </c>
      <c r="J181" s="4">
        <v>2.5806451612903219E-2</v>
      </c>
      <c r="K181" s="4">
        <v>5.1612903225806438E-2</v>
      </c>
      <c r="L181" s="4">
        <v>5.6910569105691054E-2</v>
      </c>
      <c r="M181" s="4">
        <v>2.7027027027027029E-2</v>
      </c>
    </row>
    <row r="182" spans="1:13" x14ac:dyDescent="0.35">
      <c r="A182" s="6"/>
      <c r="B182" s="2" t="s">
        <v>207</v>
      </c>
      <c r="C182" s="4">
        <v>7.1428571428571425E-2</v>
      </c>
      <c r="D182" s="4">
        <v>5.8823529411764705E-2</v>
      </c>
      <c r="E182" s="4">
        <v>3.125E-2</v>
      </c>
      <c r="F182" s="4">
        <v>2.2727272727272728E-2</v>
      </c>
      <c r="G182" s="4">
        <v>4.878048780487805E-2</v>
      </c>
      <c r="H182" s="4">
        <v>2.2727272727272728E-2</v>
      </c>
      <c r="I182" s="4">
        <v>1.7857142857142856E-2</v>
      </c>
      <c r="J182" s="4">
        <v>7.1428571428571411E-2</v>
      </c>
      <c r="K182" s="4">
        <v>2.9411764705882356E-2</v>
      </c>
      <c r="L182" s="4">
        <v>2.3255813953488372E-2</v>
      </c>
      <c r="M182" s="4">
        <v>0.14000000000000001</v>
      </c>
    </row>
    <row r="183" spans="1:13" x14ac:dyDescent="0.35">
      <c r="A183" s="6"/>
      <c r="B183" s="2" t="s">
        <v>208</v>
      </c>
      <c r="C183" s="4">
        <v>7.3606729758149319E-3</v>
      </c>
      <c r="D183" s="4">
        <v>1.6799999999999999E-2</v>
      </c>
      <c r="E183" s="4">
        <v>1.4925373134328358E-2</v>
      </c>
      <c r="F183" s="4">
        <v>2.2872827081427266E-2</v>
      </c>
      <c r="G183" s="4">
        <v>2.6220614828209764E-2</v>
      </c>
      <c r="H183" s="4">
        <v>3.952205882352941E-2</v>
      </c>
      <c r="I183" s="4">
        <v>3.976311336717428E-2</v>
      </c>
      <c r="J183" s="4">
        <v>4.9601417183348089E-2</v>
      </c>
      <c r="K183" s="4">
        <v>6.7241379310344809E-2</v>
      </c>
      <c r="L183" s="4">
        <v>6.1281337047353758E-2</v>
      </c>
      <c r="M183" s="4">
        <v>8.1998114985862389E-2</v>
      </c>
    </row>
    <row r="184" spans="1:13" x14ac:dyDescent="0.35">
      <c r="A184" s="6"/>
      <c r="B184" s="2" t="s">
        <v>209</v>
      </c>
      <c r="C184" s="4">
        <v>1.5822784810126583E-2</v>
      </c>
      <c r="D184" s="4">
        <v>5.9701492537313433E-3</v>
      </c>
      <c r="E184" s="4">
        <v>8.5227272727272721E-3</v>
      </c>
      <c r="F184" s="4">
        <v>2.0338983050847456E-2</v>
      </c>
      <c r="G184" s="4">
        <v>2.4E-2</v>
      </c>
      <c r="H184" s="4">
        <v>2.5714285714285714E-2</v>
      </c>
      <c r="I184" s="4">
        <v>4.0760869565217392E-2</v>
      </c>
      <c r="J184" s="4">
        <v>3.5820895522388055E-2</v>
      </c>
      <c r="K184" s="4">
        <v>4.3076923076923054E-2</v>
      </c>
      <c r="L184" s="4">
        <v>3.3240997229916899E-2</v>
      </c>
      <c r="M184" s="4">
        <v>6.0171919770773637E-2</v>
      </c>
    </row>
    <row r="185" spans="1:13" x14ac:dyDescent="0.35">
      <c r="A185" s="6"/>
      <c r="B185" s="2" t="s">
        <v>210</v>
      </c>
      <c r="C185" s="4">
        <v>1.0676156583629894E-2</v>
      </c>
      <c r="D185" s="4">
        <v>3.9215686274509803E-3</v>
      </c>
      <c r="E185" s="4">
        <v>3.6231884057971015E-3</v>
      </c>
      <c r="F185" s="4">
        <v>1.7985611510791366E-2</v>
      </c>
      <c r="G185" s="4">
        <v>2.643171806167401E-2</v>
      </c>
      <c r="H185" s="4">
        <v>1.4598540145985401E-2</v>
      </c>
      <c r="I185" s="4">
        <v>1.532567049808429E-2</v>
      </c>
      <c r="J185" s="4">
        <v>2.0920502092050205E-2</v>
      </c>
      <c r="K185" s="4">
        <v>2.5925925925925929E-2</v>
      </c>
      <c r="L185" s="4">
        <v>5.6451612903225805E-2</v>
      </c>
      <c r="M185" s="4">
        <v>5.9071729957805907E-2</v>
      </c>
    </row>
    <row r="186" spans="1:13" x14ac:dyDescent="0.35">
      <c r="A186" s="6"/>
      <c r="B186" s="2" t="s">
        <v>211</v>
      </c>
      <c r="C186" s="4">
        <v>1.8331226295828066E-2</v>
      </c>
      <c r="D186" s="4">
        <v>3.1432748538011694E-2</v>
      </c>
      <c r="E186" s="4">
        <v>2.2295081967213116E-2</v>
      </c>
      <c r="F186" s="4">
        <v>2.8589993502274202E-2</v>
      </c>
      <c r="G186" s="4">
        <v>3.3001245330012453E-2</v>
      </c>
      <c r="H186" s="4">
        <v>4.9287410926365793E-2</v>
      </c>
      <c r="I186" s="4">
        <v>4.9089906232763374E-2</v>
      </c>
      <c r="J186" s="4">
        <v>3.871681415929204E-2</v>
      </c>
      <c r="K186" s="4">
        <v>6.307617661329451E-2</v>
      </c>
      <c r="L186" s="4">
        <v>7.3443579766536968E-2</v>
      </c>
      <c r="M186" s="4">
        <v>8.1349206349206352E-2</v>
      </c>
    </row>
    <row r="187" spans="1:13" x14ac:dyDescent="0.35">
      <c r="A187" s="6"/>
      <c r="B187" s="2" t="s">
        <v>38</v>
      </c>
      <c r="C187" s="4">
        <v>1.8867924528301886E-2</v>
      </c>
      <c r="D187" s="4">
        <v>5.0251256281407036E-3</v>
      </c>
      <c r="E187" s="4">
        <v>1.06951871657754E-2</v>
      </c>
      <c r="F187" s="4">
        <v>1.092896174863388E-2</v>
      </c>
      <c r="G187" s="4">
        <v>6.993006993006993E-3</v>
      </c>
      <c r="H187" s="4">
        <v>1.1299435028248588E-2</v>
      </c>
      <c r="I187" s="4">
        <v>3.5294117647058823E-2</v>
      </c>
      <c r="J187" s="4">
        <v>6.5789473684210514E-3</v>
      </c>
      <c r="K187" s="4">
        <v>5.1020408163265293E-3</v>
      </c>
      <c r="L187" s="4">
        <v>2.9069767441860465E-2</v>
      </c>
      <c r="M187" s="4">
        <v>3.5460992907801421E-2</v>
      </c>
    </row>
    <row r="188" spans="1:13" x14ac:dyDescent="0.35">
      <c r="A188" s="6"/>
      <c r="B188" s="2" t="s">
        <v>212</v>
      </c>
      <c r="C188" s="4">
        <v>7.9681274900398405E-3</v>
      </c>
      <c r="D188" s="4">
        <v>6.9444444444444441E-3</v>
      </c>
      <c r="E188" s="4">
        <v>4.1493775933609959E-3</v>
      </c>
      <c r="F188" s="4">
        <v>4.0000000000000001E-3</v>
      </c>
      <c r="G188" s="4">
        <v>4.9504950495049506E-3</v>
      </c>
      <c r="H188" s="4">
        <v>4.4843049327354259E-3</v>
      </c>
      <c r="I188" s="4">
        <v>1.2605042016806723E-2</v>
      </c>
      <c r="J188" s="4">
        <v>5.4054054054054066E-3</v>
      </c>
      <c r="K188" s="4">
        <v>2.1978021978021973E-2</v>
      </c>
      <c r="L188" s="4">
        <v>5.8823529411764705E-3</v>
      </c>
      <c r="M188" s="4">
        <v>8.8709677419354843E-2</v>
      </c>
    </row>
    <row r="189" spans="1:13" x14ac:dyDescent="0.35">
      <c r="A189" s="6"/>
      <c r="B189" s="2" t="s">
        <v>213</v>
      </c>
      <c r="C189" s="4">
        <v>1.9569471624266144E-3</v>
      </c>
      <c r="D189" s="4">
        <v>1.4981273408239701E-2</v>
      </c>
      <c r="E189" s="4">
        <v>1.5473887814313346E-2</v>
      </c>
      <c r="F189" s="4">
        <v>1.7094017094017096E-2</v>
      </c>
      <c r="G189" s="4">
        <v>1.7341040462427744E-2</v>
      </c>
      <c r="H189" s="4">
        <v>1.8036072144288578E-2</v>
      </c>
      <c r="I189" s="4">
        <v>7.9840319361277438E-3</v>
      </c>
      <c r="J189" s="4">
        <v>6.0483870967741951E-3</v>
      </c>
      <c r="K189" s="4">
        <v>1.4388489208633091E-2</v>
      </c>
      <c r="L189" s="4">
        <v>1.1342155009451797E-2</v>
      </c>
      <c r="M189" s="4">
        <v>1.8633540372670808E-2</v>
      </c>
    </row>
    <row r="190" spans="1:13" x14ac:dyDescent="0.35">
      <c r="A190" s="6"/>
      <c r="B190" s="2" t="s">
        <v>39</v>
      </c>
      <c r="C190" s="4">
        <v>1.2582573136206355E-2</v>
      </c>
      <c r="D190" s="4">
        <v>1.1991164405175133E-2</v>
      </c>
      <c r="E190" s="4">
        <v>1.1707988980716254E-2</v>
      </c>
      <c r="F190" s="4">
        <v>1.5302491103202847E-2</v>
      </c>
      <c r="G190" s="4">
        <v>1.5080789946140035E-2</v>
      </c>
      <c r="H190" s="4">
        <v>1.6433566433566433E-2</v>
      </c>
      <c r="I190" s="4">
        <v>1.8413597733711047E-2</v>
      </c>
      <c r="J190" s="4">
        <v>1.6048910966755824E-2</v>
      </c>
      <c r="K190" s="4">
        <v>2.1594032194738905E-2</v>
      </c>
      <c r="L190" s="4">
        <v>3.1223980016652789E-2</v>
      </c>
      <c r="M190" s="4">
        <v>3.3318909562959756E-2</v>
      </c>
    </row>
    <row r="191" spans="1:13" x14ac:dyDescent="0.35">
      <c r="A191" s="6"/>
      <c r="B191" s="2" t="s">
        <v>214</v>
      </c>
      <c r="C191" s="4">
        <v>0</v>
      </c>
      <c r="D191" s="4">
        <v>0</v>
      </c>
      <c r="E191" s="4">
        <v>0</v>
      </c>
      <c r="F191" s="4">
        <v>8.6206896551724137E-3</v>
      </c>
      <c r="G191" s="4">
        <v>1.0309278350515464E-2</v>
      </c>
      <c r="H191" s="4">
        <v>1.1363636363636364E-2</v>
      </c>
      <c r="I191" s="4">
        <v>2.0408163265306121E-2</v>
      </c>
      <c r="J191" s="4">
        <v>0</v>
      </c>
      <c r="K191" s="4">
        <v>0</v>
      </c>
      <c r="L191" s="4">
        <v>0</v>
      </c>
      <c r="M191" s="4">
        <v>1.8518518518518517E-2</v>
      </c>
    </row>
    <row r="192" spans="1:13" x14ac:dyDescent="0.35">
      <c r="A192" s="6"/>
      <c r="B192" s="2" t="s">
        <v>215</v>
      </c>
      <c r="C192" s="4">
        <v>1.680672268907563E-2</v>
      </c>
      <c r="D192" s="4">
        <v>1.8691588785046728E-2</v>
      </c>
      <c r="E192" s="4">
        <v>1.6129032258064516E-2</v>
      </c>
      <c r="F192" s="4">
        <v>4.7619047619047616E-2</v>
      </c>
      <c r="G192" s="4"/>
      <c r="H192" s="4">
        <v>3.8461538461538464E-2</v>
      </c>
      <c r="I192" s="4">
        <v>8.3333333333333329E-2</v>
      </c>
      <c r="J192" s="4">
        <v>1.415094339622641E-2</v>
      </c>
      <c r="K192" s="4">
        <v>8.4112149532710304E-2</v>
      </c>
      <c r="L192" s="4">
        <v>4.7244094488188976E-2</v>
      </c>
      <c r="M192" s="4">
        <v>8.6538461538461536E-2</v>
      </c>
    </row>
    <row r="193" spans="1:13" x14ac:dyDescent="0.35">
      <c r="A193" s="6"/>
      <c r="B193" s="2" t="s">
        <v>40</v>
      </c>
      <c r="C193" s="4">
        <v>3.4042553191489362E-2</v>
      </c>
      <c r="D193" s="4">
        <v>3.3093525179856115E-2</v>
      </c>
      <c r="E193" s="4">
        <v>1.6105417276720352E-2</v>
      </c>
      <c r="F193" s="4">
        <v>2.3936170212765957E-2</v>
      </c>
      <c r="G193" s="4">
        <v>2.23463687150838E-2</v>
      </c>
      <c r="H193" s="4">
        <v>2.8416779431664412E-2</v>
      </c>
      <c r="I193" s="4">
        <v>3.4438775510204078E-2</v>
      </c>
      <c r="J193" s="4">
        <v>2.5991792065663471E-2</v>
      </c>
      <c r="K193" s="4">
        <v>3.3036848792884363E-2</v>
      </c>
      <c r="L193" s="4">
        <v>4.4665012406947889E-2</v>
      </c>
      <c r="M193" s="4">
        <v>6.0526315789473685E-2</v>
      </c>
    </row>
    <row r="194" spans="1:13" x14ac:dyDescent="0.35">
      <c r="A194" s="6"/>
      <c r="B194" s="2" t="s">
        <v>216</v>
      </c>
      <c r="C194" s="4">
        <v>1.3888888888888888E-2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1.4492753623188406E-2</v>
      </c>
      <c r="M194" s="4">
        <v>0</v>
      </c>
    </row>
    <row r="195" spans="1:13" x14ac:dyDescent="0.35">
      <c r="A195" s="6"/>
      <c r="B195" s="2" t="s">
        <v>217</v>
      </c>
      <c r="C195" s="4">
        <v>0</v>
      </c>
      <c r="D195" s="4">
        <v>0</v>
      </c>
      <c r="E195" s="4">
        <v>4.1666666666666664E-2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/>
    </row>
    <row r="196" spans="1:13" x14ac:dyDescent="0.35">
      <c r="A196" s="6"/>
      <c r="B196" s="2" t="s">
        <v>218</v>
      </c>
      <c r="C196" s="4">
        <v>5.2910052910052907E-3</v>
      </c>
      <c r="D196" s="4">
        <v>6.2893081761006293E-3</v>
      </c>
      <c r="E196" s="4">
        <v>1.4184397163120567E-2</v>
      </c>
      <c r="F196" s="4">
        <v>6.7114093959731542E-3</v>
      </c>
      <c r="G196" s="4">
        <v>1.3793103448275862E-2</v>
      </c>
      <c r="H196" s="4">
        <v>2.8169014084507043E-2</v>
      </c>
      <c r="I196" s="4">
        <v>2.0408163265306121E-2</v>
      </c>
      <c r="J196" s="4">
        <v>1.9047619047619056E-2</v>
      </c>
      <c r="K196" s="4">
        <v>6.4516129032258047E-3</v>
      </c>
      <c r="L196" s="4">
        <v>2.7586206896551724E-2</v>
      </c>
      <c r="M196" s="4">
        <v>6.5040650406504072E-2</v>
      </c>
    </row>
    <row r="197" spans="1:13" x14ac:dyDescent="0.35">
      <c r="A197" s="6"/>
      <c r="B197" s="2" t="s">
        <v>41</v>
      </c>
      <c r="C197" s="4">
        <v>0</v>
      </c>
      <c r="D197" s="4">
        <v>4.4843049327354259E-3</v>
      </c>
      <c r="E197" s="4">
        <v>1.0582010582010581E-2</v>
      </c>
      <c r="F197" s="4">
        <v>1.507537688442211E-2</v>
      </c>
      <c r="G197" s="4">
        <v>5.0000000000000001E-3</v>
      </c>
      <c r="H197" s="4">
        <v>0</v>
      </c>
      <c r="I197" s="4">
        <v>1.2096774193548387E-2</v>
      </c>
      <c r="J197" s="4">
        <v>1.3824884792626736E-2</v>
      </c>
      <c r="K197" s="4">
        <v>2.0833333333333329E-2</v>
      </c>
      <c r="L197" s="4">
        <v>1.0416666666666666E-2</v>
      </c>
      <c r="M197" s="4">
        <v>2.5380710659898477E-2</v>
      </c>
    </row>
    <row r="198" spans="1:13" x14ac:dyDescent="0.35">
      <c r="A198" s="6"/>
      <c r="B198" s="2" t="s">
        <v>219</v>
      </c>
      <c r="C198" s="4">
        <v>0</v>
      </c>
      <c r="D198" s="4">
        <v>1.0416666666666666E-2</v>
      </c>
      <c r="E198" s="4">
        <v>0</v>
      </c>
      <c r="F198" s="4">
        <v>3.9603960396039604E-2</v>
      </c>
      <c r="G198" s="4">
        <v>1.0526315789473684E-2</v>
      </c>
      <c r="H198" s="4">
        <v>4.9382716049382713E-2</v>
      </c>
      <c r="I198" s="4">
        <v>3.7974683544303799E-2</v>
      </c>
      <c r="J198" s="4">
        <v>1.9607843137254902E-2</v>
      </c>
      <c r="K198" s="4">
        <v>3.2967032967032961E-2</v>
      </c>
      <c r="L198" s="4">
        <v>6.8965517241379309E-2</v>
      </c>
      <c r="M198" s="4">
        <v>3.6585365853658534E-2</v>
      </c>
    </row>
    <row r="199" spans="1:13" x14ac:dyDescent="0.35">
      <c r="A199" s="6"/>
      <c r="B199" s="2" t="s">
        <v>220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5">
      <c r="A200" s="6"/>
      <c r="B200" s="2" t="s">
        <v>221</v>
      </c>
      <c r="C200" s="4">
        <v>3.9215686274509803E-3</v>
      </c>
      <c r="D200" s="4">
        <v>5.0000000000000001E-3</v>
      </c>
      <c r="E200" s="4">
        <v>4.0160642570281121E-3</v>
      </c>
      <c r="F200" s="4">
        <v>1.3274336283185841E-2</v>
      </c>
      <c r="G200" s="4">
        <v>8.9285714285714281E-3</v>
      </c>
      <c r="H200" s="4">
        <v>1.282051282051282E-2</v>
      </c>
      <c r="I200" s="4">
        <v>2.8925619834710745E-2</v>
      </c>
      <c r="J200" s="4">
        <v>9.3896713615023511E-3</v>
      </c>
      <c r="K200" s="4">
        <v>0</v>
      </c>
      <c r="L200" s="4">
        <v>2.3622047244094488E-2</v>
      </c>
      <c r="M200" s="4">
        <v>1.4492753623188406E-2</v>
      </c>
    </row>
    <row r="201" spans="1:13" x14ac:dyDescent="0.35">
      <c r="A201" s="6"/>
      <c r="B201" s="2" t="s">
        <v>42</v>
      </c>
      <c r="C201" s="4">
        <v>1.8731988472622477E-2</v>
      </c>
      <c r="D201" s="4">
        <v>2.6561378320172292E-2</v>
      </c>
      <c r="E201" s="4">
        <v>1.827485380116959E-2</v>
      </c>
      <c r="F201" s="4">
        <v>3.2055749128919862E-2</v>
      </c>
      <c r="G201" s="4">
        <v>3.326544467073999E-2</v>
      </c>
      <c r="H201" s="4">
        <v>4.356181934657271E-2</v>
      </c>
      <c r="I201" s="4">
        <v>5.0733496332518335E-2</v>
      </c>
      <c r="J201" s="4">
        <v>4.4370860927152339E-2</v>
      </c>
      <c r="K201" s="4">
        <v>6.0150375939849614E-2</v>
      </c>
      <c r="L201" s="4">
        <v>6.6596748820136345E-2</v>
      </c>
      <c r="M201" s="4">
        <v>8.2170542635658914E-2</v>
      </c>
    </row>
    <row r="202" spans="1:13" x14ac:dyDescent="0.35">
      <c r="A202" s="6"/>
      <c r="B202" s="2" t="s">
        <v>222</v>
      </c>
      <c r="C202" s="4">
        <v>0</v>
      </c>
      <c r="D202" s="4">
        <v>1.4814814814814815E-2</v>
      </c>
      <c r="E202" s="4">
        <v>2.8985507246376812E-2</v>
      </c>
      <c r="F202" s="4">
        <v>7.1428571428571426E-3</v>
      </c>
      <c r="G202" s="4">
        <v>7.6923076923076927E-3</v>
      </c>
      <c r="H202" s="4">
        <v>7.9365079365079361E-3</v>
      </c>
      <c r="I202" s="4">
        <v>0</v>
      </c>
      <c r="J202" s="4">
        <v>7.6923076923076893E-3</v>
      </c>
      <c r="K202" s="4">
        <v>1.2121212121212121E-2</v>
      </c>
      <c r="L202" s="4">
        <v>2.8985507246376812E-2</v>
      </c>
      <c r="M202" s="4">
        <v>6.1538461538461542E-2</v>
      </c>
    </row>
    <row r="203" spans="1:13" x14ac:dyDescent="0.35">
      <c r="A203" s="6"/>
      <c r="B203" s="2" t="s">
        <v>223</v>
      </c>
      <c r="C203" s="4">
        <v>0</v>
      </c>
      <c r="D203" s="4">
        <v>3.9603960396039604E-3</v>
      </c>
      <c r="E203" s="4">
        <v>2.2883295194508009E-3</v>
      </c>
      <c r="F203" s="4">
        <v>4.2194092827004216E-3</v>
      </c>
      <c r="G203" s="4">
        <v>6.5789473684210523E-3</v>
      </c>
      <c r="H203" s="4">
        <v>1.3513513513513514E-2</v>
      </c>
      <c r="I203" s="4">
        <v>2.6666666666666668E-2</v>
      </c>
      <c r="J203" s="4">
        <v>2.8195488721804499E-2</v>
      </c>
      <c r="K203" s="4">
        <v>3.8043478260869568E-2</v>
      </c>
      <c r="L203" s="4">
        <v>3.0710172744721688E-2</v>
      </c>
      <c r="M203" s="4">
        <v>4.7892720306513412E-2</v>
      </c>
    </row>
    <row r="204" spans="1:13" x14ac:dyDescent="0.35">
      <c r="A204" s="6"/>
      <c r="B204" s="2" t="s">
        <v>224</v>
      </c>
      <c r="C204" s="4">
        <v>0</v>
      </c>
      <c r="D204" s="4">
        <v>6.8965517241379309E-3</v>
      </c>
      <c r="E204" s="4">
        <v>7.0422535211267607E-3</v>
      </c>
      <c r="F204" s="4">
        <v>2.2388059701492536E-2</v>
      </c>
      <c r="G204" s="4">
        <v>2.4793388429752067E-2</v>
      </c>
      <c r="H204" s="4">
        <v>4.2735042735042736E-2</v>
      </c>
      <c r="I204" s="4">
        <v>2.7586206896551724E-2</v>
      </c>
      <c r="J204" s="4">
        <v>0</v>
      </c>
      <c r="K204" s="4">
        <v>4.5112781954887202E-2</v>
      </c>
      <c r="L204" s="4">
        <v>6.7226890756302518E-2</v>
      </c>
      <c r="M204" s="4">
        <v>5.9701492537313432E-2</v>
      </c>
    </row>
    <row r="205" spans="1:13" x14ac:dyDescent="0.35">
      <c r="A205" s="6"/>
      <c r="B205" s="2" t="s">
        <v>225</v>
      </c>
      <c r="C205" s="4">
        <v>3.4482758620689655E-2</v>
      </c>
      <c r="D205" s="4">
        <v>1.0752688172043012E-2</v>
      </c>
      <c r="E205" s="4">
        <v>1.1904761904761904E-2</v>
      </c>
      <c r="F205" s="4">
        <v>1.3333333333333334E-2</v>
      </c>
      <c r="G205" s="4">
        <v>2.3255813953488372E-2</v>
      </c>
      <c r="H205" s="4">
        <v>1.4285714285714285E-2</v>
      </c>
      <c r="I205" s="4">
        <v>6.25E-2</v>
      </c>
      <c r="J205" s="4">
        <v>1.408450704225352E-2</v>
      </c>
      <c r="K205" s="4">
        <v>4.054054054054055E-2</v>
      </c>
      <c r="L205" s="4">
        <v>1.3698630136986301E-2</v>
      </c>
      <c r="M205" s="4">
        <v>7.2727272727272724E-2</v>
      </c>
    </row>
    <row r="206" spans="1:13" x14ac:dyDescent="0.35">
      <c r="A206" s="6"/>
      <c r="B206" s="2" t="s">
        <v>226</v>
      </c>
      <c r="C206" s="4">
        <v>4.0000000000000001E-3</v>
      </c>
      <c r="D206" s="4">
        <v>7.7519379844961239E-3</v>
      </c>
      <c r="E206" s="4">
        <v>8.8105726872246704E-3</v>
      </c>
      <c r="F206" s="4">
        <v>4.0322580645161289E-3</v>
      </c>
      <c r="G206" s="4">
        <v>8.6956521739130436E-3</v>
      </c>
      <c r="H206" s="4">
        <v>3.7735849056603772E-2</v>
      </c>
      <c r="I206" s="4">
        <v>3.3834586466165412E-2</v>
      </c>
      <c r="J206" s="4">
        <v>2.6431718061674016E-2</v>
      </c>
      <c r="K206" s="4">
        <v>5.0925925925925923E-2</v>
      </c>
      <c r="L206" s="4">
        <v>2.0491803278688523E-2</v>
      </c>
      <c r="M206" s="4">
        <v>4.1493775933609957E-2</v>
      </c>
    </row>
    <row r="207" spans="1:13" x14ac:dyDescent="0.35">
      <c r="A207" s="6"/>
      <c r="B207" s="2" t="s">
        <v>227</v>
      </c>
      <c r="C207" s="4">
        <v>4.4722719141323791E-3</v>
      </c>
      <c r="D207" s="4">
        <v>8.4745762711864406E-3</v>
      </c>
      <c r="E207" s="4">
        <v>8.9285714285714281E-3</v>
      </c>
      <c r="F207" s="4">
        <v>7.1942446043165471E-3</v>
      </c>
      <c r="G207" s="4">
        <v>1.6722408026755852E-2</v>
      </c>
      <c r="H207" s="4">
        <v>8.130081300813009E-3</v>
      </c>
      <c r="I207" s="4">
        <v>8.0889787664307385E-3</v>
      </c>
      <c r="J207" s="4">
        <v>1.1778563015312127E-2</v>
      </c>
      <c r="K207" s="4">
        <v>2.2471910112359553E-2</v>
      </c>
      <c r="L207" s="4">
        <v>2.2269353128313893E-2</v>
      </c>
      <c r="M207" s="4">
        <v>2.0383693045563551E-2</v>
      </c>
    </row>
    <row r="208" spans="1:13" x14ac:dyDescent="0.35">
      <c r="A208" s="6"/>
      <c r="B208" s="2" t="s">
        <v>228</v>
      </c>
      <c r="C208" s="4">
        <v>0</v>
      </c>
      <c r="D208" s="4">
        <v>0</v>
      </c>
      <c r="E208" s="4">
        <v>3.5714285714285712E-2</v>
      </c>
      <c r="F208" s="4">
        <v>3.0303030303030304E-2</v>
      </c>
      <c r="G208" s="4">
        <v>3.7974683544303799E-2</v>
      </c>
      <c r="H208" s="4">
        <v>5.3333333333333337E-2</v>
      </c>
      <c r="I208" s="4">
        <v>2.7397260273972601E-2</v>
      </c>
      <c r="J208" s="4">
        <v>4.054054054054055E-2</v>
      </c>
      <c r="K208" s="4">
        <v>1.6666666666666663E-2</v>
      </c>
      <c r="L208" s="4">
        <v>0</v>
      </c>
      <c r="M208" s="4">
        <v>2.5316455696202531E-2</v>
      </c>
    </row>
    <row r="209" spans="1:13" x14ac:dyDescent="0.35">
      <c r="A209" s="6"/>
      <c r="B209" s="2" t="s">
        <v>229</v>
      </c>
      <c r="C209" s="4">
        <v>0</v>
      </c>
      <c r="D209" s="4">
        <v>0</v>
      </c>
      <c r="E209" s="4">
        <v>0</v>
      </c>
      <c r="F209" s="4">
        <v>0</v>
      </c>
      <c r="G209" s="4"/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5">
      <c r="A210" s="6"/>
      <c r="B210" s="2" t="s">
        <v>43</v>
      </c>
      <c r="C210" s="4">
        <v>0</v>
      </c>
      <c r="D210" s="4">
        <v>0</v>
      </c>
      <c r="E210" s="4">
        <v>0</v>
      </c>
      <c r="F210" s="4">
        <v>5.1282051282051282E-3</v>
      </c>
      <c r="G210" s="4">
        <v>4.0000000000000001E-3</v>
      </c>
      <c r="H210" s="4">
        <v>8.9285714285714281E-3</v>
      </c>
      <c r="I210" s="4">
        <v>8.7336244541484712E-3</v>
      </c>
      <c r="J210" s="4">
        <v>2.5000000000000001E-2</v>
      </c>
      <c r="K210" s="4">
        <v>8.4388185654008397E-3</v>
      </c>
      <c r="L210" s="4">
        <v>2.2222222222222223E-2</v>
      </c>
      <c r="M210" s="4">
        <v>1.6574585635359115E-2</v>
      </c>
    </row>
    <row r="211" spans="1:13" x14ac:dyDescent="0.35">
      <c r="A211" s="6"/>
      <c r="B211" s="2" t="s">
        <v>44</v>
      </c>
      <c r="C211" s="4">
        <v>0.02</v>
      </c>
      <c r="D211" s="4">
        <v>3.9215686274509803E-2</v>
      </c>
      <c r="E211" s="4">
        <v>3.7735849056603772E-2</v>
      </c>
      <c r="F211" s="4">
        <v>4.3478260869565216E-2</v>
      </c>
      <c r="G211" s="4">
        <v>4.2553191489361701E-2</v>
      </c>
      <c r="H211" s="4">
        <v>6.1224489795918366E-2</v>
      </c>
      <c r="I211" s="4">
        <v>4.878048780487805E-2</v>
      </c>
      <c r="J211" s="4">
        <v>0.10256410256410256</v>
      </c>
      <c r="K211" s="4">
        <v>2.4390243902439025E-2</v>
      </c>
      <c r="L211" s="4">
        <v>2.2222222222222223E-2</v>
      </c>
      <c r="M211" s="4">
        <v>0.16666666666666666</v>
      </c>
    </row>
    <row r="212" spans="1:13" x14ac:dyDescent="0.35">
      <c r="A212" s="6"/>
      <c r="B212" s="2" t="s">
        <v>230</v>
      </c>
      <c r="C212" s="4">
        <v>4.9382716049382715E-3</v>
      </c>
      <c r="D212" s="4">
        <v>0</v>
      </c>
      <c r="E212" s="4">
        <v>0</v>
      </c>
      <c r="F212" s="4">
        <v>5.5096418732782371E-3</v>
      </c>
      <c r="G212" s="4">
        <v>5.8651026392961877E-3</v>
      </c>
      <c r="H212" s="4">
        <v>1.3966480446927373E-2</v>
      </c>
      <c r="I212" s="4">
        <v>8.9285714285714281E-3</v>
      </c>
      <c r="J212" s="4">
        <v>3.0640668523676876E-2</v>
      </c>
      <c r="K212" s="4">
        <v>1.6260162601626011E-2</v>
      </c>
      <c r="L212" s="4">
        <v>4.5325779036827198E-2</v>
      </c>
      <c r="M212" s="4">
        <v>5.3824362606232294E-2</v>
      </c>
    </row>
    <row r="213" spans="1:13" x14ac:dyDescent="0.35">
      <c r="A213" s="6"/>
      <c r="B213" s="2" t="s">
        <v>231</v>
      </c>
      <c r="C213" s="4">
        <v>0</v>
      </c>
      <c r="D213" s="4">
        <v>0</v>
      </c>
      <c r="E213" s="4">
        <v>0</v>
      </c>
      <c r="F213" s="4">
        <v>0</v>
      </c>
      <c r="G213" s="4">
        <v>3.125E-2</v>
      </c>
      <c r="H213" s="4">
        <v>0</v>
      </c>
      <c r="I213" s="4">
        <v>0</v>
      </c>
      <c r="J213" s="4">
        <v>2.3255813953488375E-2</v>
      </c>
      <c r="K213" s="4">
        <v>0.1538461538461538</v>
      </c>
      <c r="L213" s="4">
        <v>4.2857142857142858E-2</v>
      </c>
      <c r="M213" s="4">
        <v>1.8867924528301886E-2</v>
      </c>
    </row>
    <row r="214" spans="1:13" x14ac:dyDescent="0.35">
      <c r="A214" s="6"/>
      <c r="B214" s="2" t="s">
        <v>232</v>
      </c>
      <c r="C214" s="4">
        <v>9.7774780849629126E-3</v>
      </c>
      <c r="D214" s="4">
        <v>1.3774104683195593E-2</v>
      </c>
      <c r="E214" s="4">
        <v>1.643835616438356E-2</v>
      </c>
      <c r="F214" s="4">
        <v>1.340931947703654E-2</v>
      </c>
      <c r="G214" s="4">
        <v>2.6822558459422285E-2</v>
      </c>
      <c r="H214" s="4">
        <v>2.3932729624838292E-2</v>
      </c>
      <c r="I214" s="4">
        <v>2.9810298102981029E-2</v>
      </c>
      <c r="J214" s="4">
        <v>3.1590413943355121E-2</v>
      </c>
      <c r="K214" s="4">
        <v>4.1386271870794071E-2</v>
      </c>
      <c r="L214" s="4">
        <v>5.7192374350086658E-2</v>
      </c>
      <c r="M214" s="4">
        <v>6.5675769097822329E-2</v>
      </c>
    </row>
    <row r="215" spans="1:13" x14ac:dyDescent="0.35">
      <c r="A215" s="6"/>
      <c r="B215" s="2" t="s">
        <v>233</v>
      </c>
      <c r="C215" s="4">
        <v>1.5748031496062992E-2</v>
      </c>
      <c r="D215" s="4">
        <v>3.2258064516129031E-2</v>
      </c>
      <c r="E215" s="4">
        <v>3.875968992248062E-2</v>
      </c>
      <c r="F215" s="4">
        <v>0</v>
      </c>
      <c r="G215" s="4">
        <v>3.8461538461538464E-2</v>
      </c>
      <c r="H215" s="4">
        <v>5.2287581699346407E-2</v>
      </c>
      <c r="I215" s="4">
        <v>7.1428571428571425E-2</v>
      </c>
      <c r="J215" s="4">
        <v>4.0650406504065033E-2</v>
      </c>
      <c r="K215" s="4">
        <v>7.6433121019108305E-2</v>
      </c>
      <c r="L215" s="4">
        <v>4.7244094488188976E-2</v>
      </c>
      <c r="M215" s="4">
        <v>6.2068965517241378E-2</v>
      </c>
    </row>
    <row r="216" spans="1:13" x14ac:dyDescent="0.35">
      <c r="A216" s="6"/>
      <c r="B216" s="2" t="s">
        <v>234</v>
      </c>
      <c r="C216" s="4">
        <v>0</v>
      </c>
      <c r="D216" s="4">
        <v>0</v>
      </c>
      <c r="E216" s="4">
        <v>0</v>
      </c>
      <c r="F216" s="4">
        <v>7.8308535630383712E-4</v>
      </c>
      <c r="G216" s="4">
        <v>9.2850510677808728E-4</v>
      </c>
      <c r="H216" s="4">
        <v>9.6246390760346492E-4</v>
      </c>
      <c r="I216" s="4">
        <v>0</v>
      </c>
      <c r="J216" s="4">
        <v>3.7523452157598503E-3</v>
      </c>
      <c r="K216" s="4">
        <v>3.3519553072625702E-3</v>
      </c>
      <c r="L216" s="4">
        <v>2.8985507246376812E-3</v>
      </c>
      <c r="M216" s="4">
        <v>3.1217481789802288E-3</v>
      </c>
    </row>
    <row r="217" spans="1:13" x14ac:dyDescent="0.35">
      <c r="A217" s="6"/>
      <c r="B217" s="2" t="s">
        <v>235</v>
      </c>
      <c r="C217" s="4">
        <v>0</v>
      </c>
      <c r="D217" s="4">
        <v>8.6206896551724137E-3</v>
      </c>
      <c r="E217" s="4">
        <v>9.6153846153846159E-3</v>
      </c>
      <c r="F217" s="4">
        <v>0</v>
      </c>
      <c r="G217" s="4">
        <v>2.8037383177570093E-2</v>
      </c>
      <c r="H217" s="4">
        <v>2.8571428571428571E-2</v>
      </c>
      <c r="I217" s="4">
        <v>4.5454545454545456E-2</v>
      </c>
      <c r="J217" s="4">
        <v>7.3394495412844055E-2</v>
      </c>
      <c r="K217" s="4">
        <v>6.2992125984251954E-2</v>
      </c>
      <c r="L217" s="4">
        <v>5.3191489361702128E-2</v>
      </c>
      <c r="M217" s="4">
        <v>0.1326530612244898</v>
      </c>
    </row>
    <row r="218" spans="1:13" x14ac:dyDescent="0.35">
      <c r="A218" s="6"/>
      <c r="B218" s="2" t="s">
        <v>236</v>
      </c>
      <c r="C218" s="4">
        <v>0</v>
      </c>
      <c r="D218" s="4">
        <v>2.564102564102564E-2</v>
      </c>
      <c r="E218" s="4">
        <v>0</v>
      </c>
      <c r="F218" s="4">
        <v>0</v>
      </c>
      <c r="G218" s="4">
        <v>0</v>
      </c>
      <c r="H218" s="4">
        <v>0</v>
      </c>
      <c r="I218" s="4">
        <v>0.04</v>
      </c>
      <c r="J218" s="4">
        <v>4.7619047619047637E-2</v>
      </c>
      <c r="K218" s="4">
        <v>7.4074074074074084E-2</v>
      </c>
      <c r="L218" s="4">
        <v>0.1111111111111111</v>
      </c>
      <c r="M218" s="4">
        <v>0.11764705882352941</v>
      </c>
    </row>
    <row r="219" spans="1:13" x14ac:dyDescent="0.35">
      <c r="A219" s="6"/>
      <c r="B219" s="2" t="s">
        <v>237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/>
      <c r="J219" s="4">
        <v>0</v>
      </c>
      <c r="K219" s="4">
        <v>0</v>
      </c>
      <c r="L219" s="4">
        <v>0</v>
      </c>
      <c r="M219" s="4"/>
    </row>
    <row r="220" spans="1:13" x14ac:dyDescent="0.35">
      <c r="A220" s="6"/>
      <c r="B220" s="2" t="s">
        <v>238</v>
      </c>
      <c r="C220" s="4">
        <v>0</v>
      </c>
      <c r="D220" s="4">
        <v>0</v>
      </c>
      <c r="E220" s="4">
        <v>0</v>
      </c>
      <c r="F220" s="4">
        <v>1.9607843137254902E-2</v>
      </c>
      <c r="G220" s="4">
        <v>4.4444444444444446E-2</v>
      </c>
      <c r="H220" s="4">
        <v>3.6363636363636362E-2</v>
      </c>
      <c r="I220" s="4">
        <v>3.7037037037037035E-2</v>
      </c>
      <c r="J220" s="4">
        <v>3.846153846153845E-2</v>
      </c>
      <c r="K220" s="4">
        <v>0.04</v>
      </c>
      <c r="L220" s="4">
        <v>0.02</v>
      </c>
      <c r="M220" s="4">
        <v>2.1276595744680851E-2</v>
      </c>
    </row>
    <row r="221" spans="1:13" x14ac:dyDescent="0.35">
      <c r="A221" s="6"/>
      <c r="B221" s="2" t="s">
        <v>239</v>
      </c>
      <c r="C221" s="4">
        <v>0</v>
      </c>
      <c r="D221" s="4">
        <v>0</v>
      </c>
      <c r="E221" s="4">
        <v>0</v>
      </c>
      <c r="F221" s="4">
        <v>1.8018018018018018E-2</v>
      </c>
      <c r="G221" s="4">
        <v>4.6728971962616821E-2</v>
      </c>
      <c r="H221" s="4">
        <v>8.771929824561403E-3</v>
      </c>
      <c r="I221" s="4">
        <v>9.2592592592592587E-3</v>
      </c>
      <c r="J221" s="4">
        <v>1.0752688172043012E-2</v>
      </c>
      <c r="K221" s="4">
        <v>9.9009900990099011E-3</v>
      </c>
      <c r="L221" s="4">
        <v>4.1095890410958902E-2</v>
      </c>
      <c r="M221" s="4">
        <v>4.3956043956043959E-2</v>
      </c>
    </row>
    <row r="222" spans="1:13" x14ac:dyDescent="0.35">
      <c r="A222" s="6"/>
      <c r="B222" s="2" t="s">
        <v>45</v>
      </c>
      <c r="C222" s="4">
        <v>1.538306519329594E-2</v>
      </c>
      <c r="D222" s="4">
        <v>1.6366387016916516E-2</v>
      </c>
      <c r="E222" s="4">
        <v>1.847360912981455E-2</v>
      </c>
      <c r="F222" s="4">
        <v>2.2391820865433076E-2</v>
      </c>
      <c r="G222" s="4">
        <v>2.5110244542439594E-2</v>
      </c>
      <c r="H222" s="4">
        <v>3.0775930899324962E-2</v>
      </c>
      <c r="I222" s="4">
        <v>3.0482305833122902E-2</v>
      </c>
      <c r="J222" s="4">
        <v>2.8896741264232435E-2</v>
      </c>
      <c r="K222" s="4">
        <v>3.4055962640950677E-2</v>
      </c>
      <c r="L222" s="4">
        <v>4.4087007250604215E-2</v>
      </c>
      <c r="M222" s="4">
        <v>4.3509238588324707E-2</v>
      </c>
    </row>
    <row r="223" spans="1:13" x14ac:dyDescent="0.35">
      <c r="A223" s="6"/>
      <c r="B223" s="2" t="s">
        <v>240</v>
      </c>
      <c r="C223" s="4">
        <v>7.6445293836598181E-3</v>
      </c>
      <c r="D223" s="4">
        <v>1.3065326633165829E-2</v>
      </c>
      <c r="E223" s="4">
        <v>9.4240837696335077E-3</v>
      </c>
      <c r="F223" s="4">
        <v>1.0111761575306013E-2</v>
      </c>
      <c r="G223" s="4">
        <v>2.1220159151193633E-2</v>
      </c>
      <c r="H223" s="4">
        <v>1.878690284487386E-2</v>
      </c>
      <c r="I223" s="4">
        <v>1.7875920084121977E-2</v>
      </c>
      <c r="J223" s="4">
        <v>2.3178807947019871E-2</v>
      </c>
      <c r="K223" s="4">
        <v>2.6852846401718596E-2</v>
      </c>
      <c r="L223" s="4">
        <v>2.579582875960483E-2</v>
      </c>
      <c r="M223" s="4">
        <v>3.1701890989988879E-2</v>
      </c>
    </row>
    <row r="224" spans="1:13" x14ac:dyDescent="0.35">
      <c r="A224" s="6"/>
      <c r="B224" s="2" t="s">
        <v>241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</row>
    <row r="225" spans="1:13" x14ac:dyDescent="0.35">
      <c r="A225" s="6"/>
      <c r="B225" s="2" t="s">
        <v>46</v>
      </c>
      <c r="C225" s="4">
        <v>0</v>
      </c>
      <c r="D225" s="4">
        <v>0</v>
      </c>
      <c r="E225" s="4">
        <v>0</v>
      </c>
      <c r="F225" s="4">
        <v>1.2269938650306749E-2</v>
      </c>
      <c r="G225" s="4">
        <v>6.2111801242236021E-3</v>
      </c>
      <c r="H225" s="4">
        <v>4.9382716049382713E-2</v>
      </c>
      <c r="I225" s="4">
        <v>4.046242774566474E-2</v>
      </c>
      <c r="J225" s="4">
        <v>2.5806451612903219E-2</v>
      </c>
      <c r="K225" s="4">
        <v>3.1847133757961783E-2</v>
      </c>
      <c r="L225" s="4">
        <v>4.0816326530612242E-2</v>
      </c>
      <c r="M225" s="4">
        <v>3.7313432835820892E-2</v>
      </c>
    </row>
    <row r="226" spans="1:13" x14ac:dyDescent="0.35">
      <c r="A226" s="6"/>
      <c r="B226" s="2" t="s">
        <v>242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0.10526315789473682</v>
      </c>
      <c r="K226" s="4">
        <v>4.5454545454545456E-2</v>
      </c>
      <c r="L226" s="4">
        <v>0.14285714285714285</v>
      </c>
      <c r="M226" s="4">
        <v>0.27272727272727271</v>
      </c>
    </row>
    <row r="227" spans="1:13" x14ac:dyDescent="0.35">
      <c r="A227" s="6"/>
      <c r="B227" s="2" t="s">
        <v>243</v>
      </c>
      <c r="C227" s="4">
        <v>6.7911714770797962E-3</v>
      </c>
      <c r="D227" s="4">
        <v>0</v>
      </c>
      <c r="E227" s="4">
        <v>5.905511811023622E-3</v>
      </c>
      <c r="F227" s="4">
        <v>2.0790020790020791E-3</v>
      </c>
      <c r="G227" s="4">
        <v>4.0080160320641279E-3</v>
      </c>
      <c r="H227" s="4">
        <v>7.5414781297134239E-3</v>
      </c>
      <c r="I227" s="4">
        <v>0</v>
      </c>
      <c r="J227" s="4">
        <v>2.9239766081871348E-3</v>
      </c>
      <c r="K227" s="4">
        <v>2.8629856850715753E-2</v>
      </c>
      <c r="L227" s="4">
        <v>1.5594541910331383E-2</v>
      </c>
      <c r="M227" s="4">
        <v>4.7422680412371132E-2</v>
      </c>
    </row>
    <row r="228" spans="1:13" x14ac:dyDescent="0.35">
      <c r="A228" s="6"/>
      <c r="B228" s="2" t="s">
        <v>244</v>
      </c>
      <c r="C228" s="4">
        <v>4.181600955794504E-3</v>
      </c>
      <c r="D228" s="4">
        <v>7.0505287896592246E-3</v>
      </c>
      <c r="E228" s="4">
        <v>9.9941211052322169E-3</v>
      </c>
      <c r="F228" s="4">
        <v>1.399878271454656E-2</v>
      </c>
      <c r="G228" s="4">
        <v>1.2626262626262626E-2</v>
      </c>
      <c r="H228" s="4">
        <v>1.7104459376908979E-2</v>
      </c>
      <c r="I228" s="4">
        <v>1.5670342426001162E-2</v>
      </c>
      <c r="J228" s="4">
        <v>1.5645371577574972E-2</v>
      </c>
      <c r="K228" s="4">
        <v>2.2026431718061679E-2</v>
      </c>
      <c r="L228" s="4">
        <v>1.7077798861480076E-2</v>
      </c>
      <c r="M228" s="4">
        <v>2.5052192066805846E-2</v>
      </c>
    </row>
    <row r="229" spans="1:13" x14ac:dyDescent="0.35">
      <c r="A229" s="6"/>
      <c r="B229" s="2" t="s">
        <v>47</v>
      </c>
      <c r="C229" s="4">
        <v>3.2188687361101156E-2</v>
      </c>
      <c r="D229" s="4">
        <v>3.1835480093676816E-2</v>
      </c>
      <c r="E229" s="4">
        <v>3.1207495844038084E-2</v>
      </c>
      <c r="F229" s="4">
        <v>3.1655110039192039E-2</v>
      </c>
      <c r="G229" s="4">
        <v>3.6174872252413011E-2</v>
      </c>
      <c r="H229" s="4">
        <v>3.5398230088495575E-2</v>
      </c>
      <c r="I229" s="4">
        <v>3.1328155850993814E-2</v>
      </c>
      <c r="J229" s="4">
        <v>2.3107076542191043E-2</v>
      </c>
      <c r="K229" s="4">
        <v>2.4393549261417541E-2</v>
      </c>
      <c r="L229" s="4">
        <v>3.4501986478009339E-2</v>
      </c>
      <c r="M229" s="4">
        <v>3.0047181524708221E-2</v>
      </c>
    </row>
    <row r="230" spans="1:13" x14ac:dyDescent="0.35">
      <c r="A230" s="6"/>
      <c r="B230" s="2" t="s">
        <v>245</v>
      </c>
      <c r="C230" s="4">
        <v>1.1695906432748537E-2</v>
      </c>
      <c r="D230" s="4">
        <v>0</v>
      </c>
      <c r="E230" s="4">
        <v>0</v>
      </c>
      <c r="F230" s="4">
        <v>1.1363636363636364E-2</v>
      </c>
      <c r="G230" s="4">
        <v>2.9629629629629631E-2</v>
      </c>
      <c r="H230" s="4">
        <v>1.5503875968992248E-2</v>
      </c>
      <c r="I230" s="4">
        <v>1.2578616352201259E-2</v>
      </c>
      <c r="J230" s="4">
        <v>4.2253521126760549E-2</v>
      </c>
      <c r="K230" s="4">
        <v>3.8961038961038953E-2</v>
      </c>
      <c r="L230" s="4">
        <v>0.05</v>
      </c>
      <c r="M230" s="4">
        <v>4.142011834319527E-2</v>
      </c>
    </row>
    <row r="231" spans="1:13" x14ac:dyDescent="0.35">
      <c r="A231" s="6"/>
      <c r="B231" s="2" t="s">
        <v>246</v>
      </c>
      <c r="C231" s="4">
        <v>1.6597510373443983E-2</v>
      </c>
      <c r="D231" s="4">
        <v>7.8431372549019607E-3</v>
      </c>
      <c r="E231" s="4">
        <v>1.4760147601476014E-2</v>
      </c>
      <c r="F231" s="4">
        <v>3.1007751937984496E-2</v>
      </c>
      <c r="G231" s="4">
        <v>3.1872509960159362E-2</v>
      </c>
      <c r="H231" s="4">
        <v>2.1052631578947368E-2</v>
      </c>
      <c r="I231" s="4">
        <v>2.4291497975708502E-2</v>
      </c>
      <c r="J231" s="4">
        <v>1.7021276595744685E-2</v>
      </c>
      <c r="K231" s="4">
        <v>3.6630036630036632E-2</v>
      </c>
      <c r="L231" s="4">
        <v>4.954954954954955E-2</v>
      </c>
      <c r="M231" s="4">
        <v>8.4507042253521125E-2</v>
      </c>
    </row>
    <row r="232" spans="1:13" x14ac:dyDescent="0.35">
      <c r="A232" s="6"/>
      <c r="B232" s="2" t="s">
        <v>48</v>
      </c>
      <c r="C232" s="4">
        <v>1.6597510373443983E-2</v>
      </c>
      <c r="D232" s="4">
        <v>1.6241299303944315E-2</v>
      </c>
      <c r="E232" s="4">
        <v>2.850877192982456E-2</v>
      </c>
      <c r="F232" s="4">
        <v>2.575107296137339E-2</v>
      </c>
      <c r="G232" s="4">
        <v>1.8828451882845189E-2</v>
      </c>
      <c r="H232" s="4">
        <v>3.7422037422037424E-2</v>
      </c>
      <c r="I232" s="4">
        <v>2.9702970297029702E-2</v>
      </c>
      <c r="J232" s="4">
        <v>4.4444444444444446E-2</v>
      </c>
      <c r="K232" s="4">
        <v>4.0339702760084931E-2</v>
      </c>
      <c r="L232" s="4">
        <v>4.7034764826175871E-2</v>
      </c>
      <c r="M232" s="4">
        <v>6.6964285714285712E-2</v>
      </c>
    </row>
    <row r="233" spans="1:13" x14ac:dyDescent="0.35">
      <c r="A233" s="6"/>
      <c r="B233" s="2" t="s">
        <v>247</v>
      </c>
      <c r="C233" s="4">
        <v>0</v>
      </c>
      <c r="D233" s="4">
        <v>1.2987012987012988E-2</v>
      </c>
      <c r="E233" s="4">
        <v>0</v>
      </c>
      <c r="F233" s="4">
        <v>1.8518518518518517E-2</v>
      </c>
      <c r="G233" s="4">
        <v>0</v>
      </c>
      <c r="H233" s="4">
        <v>4.6875E-2</v>
      </c>
      <c r="I233" s="4">
        <v>0</v>
      </c>
      <c r="J233" s="4">
        <v>0</v>
      </c>
      <c r="K233" s="4">
        <v>1.7857142857142853E-2</v>
      </c>
      <c r="L233" s="4">
        <v>0</v>
      </c>
      <c r="M233" s="4">
        <v>5.2631578947368418E-2</v>
      </c>
    </row>
    <row r="234" spans="1:13" x14ac:dyDescent="0.35">
      <c r="A234" s="6"/>
      <c r="B234" s="2" t="s">
        <v>248</v>
      </c>
      <c r="C234" s="4">
        <v>2.0746887966804979E-3</v>
      </c>
      <c r="D234" s="4">
        <v>9.0702947845804991E-3</v>
      </c>
      <c r="E234" s="4">
        <v>9.852216748768473E-3</v>
      </c>
      <c r="F234" s="4">
        <v>1.1441647597254004E-2</v>
      </c>
      <c r="G234" s="4">
        <v>1.0610079575596816E-2</v>
      </c>
      <c r="H234" s="4">
        <v>5.1020408163265302E-3</v>
      </c>
      <c r="I234" s="4">
        <v>1.3020833333333334E-2</v>
      </c>
      <c r="J234" s="4">
        <v>1.2658227848101264E-2</v>
      </c>
      <c r="K234" s="4">
        <v>2.2535211267605632E-2</v>
      </c>
      <c r="L234" s="4">
        <v>1.3440860215053764E-2</v>
      </c>
      <c r="M234" s="4">
        <v>2.8248587570621469E-2</v>
      </c>
    </row>
    <row r="235" spans="1:13" x14ac:dyDescent="0.35">
      <c r="A235" s="6"/>
      <c r="B235" s="2" t="s">
        <v>249</v>
      </c>
      <c r="C235" s="4">
        <v>1.0976948408342481E-3</v>
      </c>
      <c r="D235" s="4">
        <v>1.1947431302270011E-3</v>
      </c>
      <c r="E235" s="4">
        <v>1.3157894736842105E-3</v>
      </c>
      <c r="F235" s="4">
        <v>0</v>
      </c>
      <c r="G235" s="4">
        <v>4.30416068866571E-3</v>
      </c>
      <c r="H235" s="4">
        <v>3.9787798408488064E-3</v>
      </c>
      <c r="I235" s="4">
        <v>4.2075736325385693E-3</v>
      </c>
      <c r="J235" s="4">
        <v>1.4184397163120564E-3</v>
      </c>
      <c r="K235" s="4">
        <v>6.5274151436031345E-3</v>
      </c>
      <c r="L235" s="4">
        <v>1.1816838995568686E-2</v>
      </c>
      <c r="M235" s="4">
        <v>4.8939641109298528E-3</v>
      </c>
    </row>
    <row r="236" spans="1:13" x14ac:dyDescent="0.35">
      <c r="A236" s="6"/>
      <c r="B236" s="2" t="s">
        <v>250</v>
      </c>
      <c r="C236" s="4">
        <v>1.7441860465116279E-2</v>
      </c>
      <c r="D236" s="4">
        <v>2.5495750708215296E-2</v>
      </c>
      <c r="E236" s="4">
        <v>2.5297619047619048E-2</v>
      </c>
      <c r="F236" s="4">
        <v>3.1626506024096383E-2</v>
      </c>
      <c r="G236" s="4">
        <v>2.3391812865497075E-2</v>
      </c>
      <c r="H236" s="4">
        <v>2.7704485488126648E-2</v>
      </c>
      <c r="I236" s="4">
        <v>5.7142857142857141E-2</v>
      </c>
      <c r="J236" s="4">
        <v>3.6682615629984053E-2</v>
      </c>
      <c r="K236" s="4">
        <v>5.7534246575342486E-2</v>
      </c>
      <c r="L236" s="4">
        <v>5.6818181818181816E-2</v>
      </c>
      <c r="M236" s="4">
        <v>6.7867036011080337E-2</v>
      </c>
    </row>
    <row r="237" spans="1:13" x14ac:dyDescent="0.35">
      <c r="A237" s="6"/>
      <c r="B237" s="2" t="s">
        <v>251</v>
      </c>
      <c r="C237" s="4">
        <v>3.434065934065934E-3</v>
      </c>
      <c r="D237" s="4">
        <v>3.164091243561442E-2</v>
      </c>
      <c r="E237" s="4">
        <v>4.5836516424751722E-3</v>
      </c>
      <c r="F237" s="4">
        <v>6.5573770491803279E-3</v>
      </c>
      <c r="G237" s="4">
        <v>8.2987551867219917E-3</v>
      </c>
      <c r="H237" s="4">
        <v>6.8787618228718832E-3</v>
      </c>
      <c r="I237" s="4">
        <v>1.7160686427457099E-2</v>
      </c>
      <c r="J237" s="4">
        <v>1.6814159292035398E-2</v>
      </c>
      <c r="K237" s="4">
        <v>1.4107883817427388E-2</v>
      </c>
      <c r="L237" s="4">
        <v>1.5246636771300448E-2</v>
      </c>
      <c r="M237" s="4">
        <v>1.8975332068311195E-2</v>
      </c>
    </row>
    <row r="238" spans="1:13" x14ac:dyDescent="0.35">
      <c r="A238" s="6"/>
      <c r="B238" s="2" t="s">
        <v>252</v>
      </c>
      <c r="C238" s="4">
        <v>1.7421602787456445E-2</v>
      </c>
      <c r="D238" s="4">
        <v>2.3547880690737835E-2</v>
      </c>
      <c r="E238" s="4">
        <v>8.6956521739130436E-3</v>
      </c>
      <c r="F238" s="4">
        <v>1.289134438305709E-2</v>
      </c>
      <c r="G238" s="4">
        <v>1.5037593984962405E-2</v>
      </c>
      <c r="H238" s="4">
        <v>2.4844720496894408E-2</v>
      </c>
      <c r="I238" s="4">
        <v>2.5993883792048929E-2</v>
      </c>
      <c r="J238" s="4">
        <v>4.1599999999999998E-2</v>
      </c>
      <c r="K238" s="4">
        <v>3.6334913112164302E-2</v>
      </c>
      <c r="L238" s="4">
        <v>5.5944055944055944E-2</v>
      </c>
      <c r="M238" s="4">
        <v>6.0064935064935064E-2</v>
      </c>
    </row>
    <row r="239" spans="1:13" x14ac:dyDescent="0.35">
      <c r="A239" s="6"/>
      <c r="B239" s="2" t="s">
        <v>253</v>
      </c>
      <c r="C239" s="4">
        <v>6.1500615006150061E-3</v>
      </c>
      <c r="D239" s="4">
        <v>7.5282308657465494E-3</v>
      </c>
      <c r="E239" s="4">
        <v>1.0217113665389528E-2</v>
      </c>
      <c r="F239" s="4">
        <v>8.253094910591471E-3</v>
      </c>
      <c r="G239" s="4">
        <v>1.3440860215053764E-2</v>
      </c>
      <c r="H239" s="4">
        <v>1.5503875968992248E-2</v>
      </c>
      <c r="I239" s="4">
        <v>1.3447432762836185E-2</v>
      </c>
      <c r="J239" s="4">
        <v>1.1523687580025603E-2</v>
      </c>
      <c r="K239" s="4">
        <v>1.8404907975460124E-2</v>
      </c>
      <c r="L239" s="4">
        <v>2.9205607476635514E-2</v>
      </c>
      <c r="M239" s="4">
        <v>3.6026200873362446E-2</v>
      </c>
    </row>
    <row r="240" spans="1:13" x14ac:dyDescent="0.35">
      <c r="A240" s="6"/>
      <c r="B240" s="2" t="s">
        <v>254</v>
      </c>
      <c r="C240" s="4">
        <v>4.9504950495049506E-3</v>
      </c>
      <c r="D240" s="4">
        <v>0</v>
      </c>
      <c r="E240" s="4">
        <v>0</v>
      </c>
      <c r="F240" s="4">
        <v>1.7142857142857144E-2</v>
      </c>
      <c r="G240" s="4">
        <v>1.7045454545454544E-2</v>
      </c>
      <c r="H240" s="4">
        <v>9.1743119266055051E-3</v>
      </c>
      <c r="I240" s="4">
        <v>1.9230769230769232E-2</v>
      </c>
      <c r="J240" s="4">
        <v>6.4935064935064948E-3</v>
      </c>
      <c r="K240" s="4">
        <v>3.1055900621118009E-2</v>
      </c>
      <c r="L240" s="4">
        <v>4.519774011299435E-2</v>
      </c>
      <c r="M240" s="4">
        <v>4.145077720207254E-2</v>
      </c>
    </row>
    <row r="241" spans="1:13" x14ac:dyDescent="0.35">
      <c r="A241" s="6"/>
      <c r="B241" s="2" t="s">
        <v>255</v>
      </c>
      <c r="C241" s="4">
        <v>1.6172506738544475E-2</v>
      </c>
      <c r="D241" s="4">
        <v>1.020408163265306E-2</v>
      </c>
      <c r="E241" s="4">
        <v>8.3798882681564244E-3</v>
      </c>
      <c r="F241" s="4">
        <v>1.3262599469496022E-2</v>
      </c>
      <c r="G241" s="4">
        <v>1.0025062656641603E-2</v>
      </c>
      <c r="H241" s="4">
        <v>3.0660377358490566E-2</v>
      </c>
      <c r="I241" s="4">
        <v>2.097902097902098E-2</v>
      </c>
      <c r="J241" s="4">
        <v>9.9750623441396489E-3</v>
      </c>
      <c r="K241" s="4">
        <v>2.4590163934426233E-2</v>
      </c>
      <c r="L241" s="4">
        <v>4.6070460704607047E-2</v>
      </c>
      <c r="M241" s="4">
        <v>3.2432432432432434E-2</v>
      </c>
    </row>
    <row r="242" spans="1:13" x14ac:dyDescent="0.35">
      <c r="A242" s="6"/>
      <c r="B242" s="2" t="s">
        <v>256</v>
      </c>
      <c r="C242" s="4">
        <v>1.5470895378070005E-3</v>
      </c>
      <c r="D242" s="4">
        <v>7.5958982149639193E-4</v>
      </c>
      <c r="E242" s="4">
        <v>2.5483117434699511E-3</v>
      </c>
      <c r="F242" s="4">
        <v>2.8017241379310344E-3</v>
      </c>
      <c r="G242" s="4">
        <v>1.5569395017793594E-3</v>
      </c>
      <c r="H242" s="4">
        <v>1.9430051813471502E-3</v>
      </c>
      <c r="I242" s="4">
        <v>3.9258451472191933E-3</v>
      </c>
      <c r="J242" s="4">
        <v>3.472222222222222E-3</v>
      </c>
      <c r="K242" s="4">
        <v>3.5832414553472998E-3</v>
      </c>
      <c r="L242" s="4">
        <v>4.9043648847474251E-3</v>
      </c>
      <c r="M242" s="4">
        <v>6.3597049096921904E-3</v>
      </c>
    </row>
    <row r="243" spans="1:13" x14ac:dyDescent="0.35">
      <c r="A243" s="6"/>
      <c r="B243" s="2" t="s">
        <v>257</v>
      </c>
      <c r="C243" s="4">
        <v>0</v>
      </c>
      <c r="D243" s="4">
        <v>4.9668874172185433E-3</v>
      </c>
      <c r="E243" s="4">
        <v>2.631578947368421E-3</v>
      </c>
      <c r="F243" s="4">
        <v>3.4542314335060447E-3</v>
      </c>
      <c r="G243" s="4">
        <v>7.326007326007326E-3</v>
      </c>
      <c r="H243" s="4">
        <v>1.0471204188481676E-2</v>
      </c>
      <c r="I243" s="4">
        <v>1.7985611510791368E-3</v>
      </c>
      <c r="J243" s="4">
        <v>1.1090573012939002E-2</v>
      </c>
      <c r="K243" s="4">
        <v>8.9605734767025085E-3</v>
      </c>
      <c r="L243" s="4">
        <v>1.7730496453900711E-2</v>
      </c>
      <c r="M243" s="4">
        <v>1.7953321364452424E-2</v>
      </c>
    </row>
    <row r="244" spans="1:13" x14ac:dyDescent="0.35">
      <c r="A244" s="6"/>
      <c r="B244" s="2" t="s">
        <v>258</v>
      </c>
      <c r="C244" s="4">
        <v>1.098901098901099E-2</v>
      </c>
      <c r="D244" s="4">
        <v>3.3898305084745763E-2</v>
      </c>
      <c r="E244" s="4">
        <v>3.2258064516129031E-2</v>
      </c>
      <c r="F244" s="4">
        <v>3.7037037037037035E-2</v>
      </c>
      <c r="G244" s="4">
        <v>3.4883720930232558E-2</v>
      </c>
      <c r="H244" s="4">
        <v>1.282051282051282E-2</v>
      </c>
      <c r="I244" s="4">
        <v>8.3333333333333329E-2</v>
      </c>
      <c r="J244" s="4">
        <v>4.4776119402985072E-2</v>
      </c>
      <c r="K244" s="4">
        <v>0</v>
      </c>
      <c r="L244" s="4">
        <v>1.4705882352941176E-2</v>
      </c>
      <c r="M244" s="4">
        <v>3.7037037037037035E-2</v>
      </c>
    </row>
    <row r="245" spans="1:13" x14ac:dyDescent="0.35">
      <c r="A245" s="6"/>
      <c r="B245" s="2" t="s">
        <v>259</v>
      </c>
      <c r="C245" s="4">
        <v>1.2877939529675251E-2</v>
      </c>
      <c r="D245" s="4">
        <v>9.9299065420560741E-3</v>
      </c>
      <c r="E245" s="4">
        <v>1.0771992818671455E-2</v>
      </c>
      <c r="F245" s="4">
        <v>8.6313193588162754E-3</v>
      </c>
      <c r="G245" s="4">
        <v>1.5489467162329617E-2</v>
      </c>
      <c r="H245" s="4">
        <v>1.2307692307692308E-2</v>
      </c>
      <c r="I245" s="4">
        <v>1.4687882496940025E-2</v>
      </c>
      <c r="J245" s="4">
        <v>1.238591916558018E-2</v>
      </c>
      <c r="K245" s="4">
        <v>2.5742574257425745E-2</v>
      </c>
      <c r="L245" s="4">
        <v>2.2014676450967312E-2</v>
      </c>
      <c r="M245" s="4">
        <v>2.6334026334026334E-2</v>
      </c>
    </row>
    <row r="246" spans="1:13" x14ac:dyDescent="0.35">
      <c r="A246" s="6"/>
      <c r="B246" s="2" t="s">
        <v>260</v>
      </c>
      <c r="C246" s="4">
        <v>0</v>
      </c>
      <c r="D246" s="4">
        <v>5.6497175141242938E-3</v>
      </c>
      <c r="E246" s="4">
        <v>6.6225165562913907E-3</v>
      </c>
      <c r="F246" s="4">
        <v>6.8493150684931503E-3</v>
      </c>
      <c r="G246" s="4">
        <v>0</v>
      </c>
      <c r="H246" s="4">
        <v>1.3071895424836602E-2</v>
      </c>
      <c r="I246" s="4">
        <v>1.3888888888888888E-2</v>
      </c>
      <c r="J246" s="4">
        <v>5.9523809523809555E-3</v>
      </c>
      <c r="K246" s="4">
        <v>6.2500000000000003E-3</v>
      </c>
      <c r="L246" s="4">
        <v>1.9607843137254902E-2</v>
      </c>
      <c r="M246" s="4">
        <v>7.462686567164179E-3</v>
      </c>
    </row>
    <row r="247" spans="1:13" x14ac:dyDescent="0.35">
      <c r="A247" s="6"/>
      <c r="B247" s="2" t="s">
        <v>261</v>
      </c>
      <c r="C247" s="4">
        <v>8.9020771513353119E-3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4.3478260869565218E-3</v>
      </c>
      <c r="J247" s="4">
        <v>0</v>
      </c>
      <c r="K247" s="4">
        <v>0</v>
      </c>
      <c r="L247" s="4">
        <v>7.6045627376425855E-3</v>
      </c>
      <c r="M247" s="4">
        <v>4.0322580645161289E-3</v>
      </c>
    </row>
    <row r="248" spans="1:13" x14ac:dyDescent="0.35">
      <c r="A248" s="6"/>
      <c r="B248" s="2" t="s">
        <v>49</v>
      </c>
      <c r="C248" s="4">
        <v>3.9740566037735847E-2</v>
      </c>
      <c r="D248" s="4">
        <v>3.7486483239216627E-2</v>
      </c>
      <c r="E248" s="4">
        <v>3.8965768390386013E-2</v>
      </c>
      <c r="F248" s="4">
        <v>3.906899418121363E-2</v>
      </c>
      <c r="G248" s="4">
        <v>3.8917286245353157E-2</v>
      </c>
      <c r="H248" s="4">
        <v>4.750566893424036E-2</v>
      </c>
      <c r="I248" s="4">
        <v>4.3224055126331179E-2</v>
      </c>
      <c r="J248" s="4">
        <v>3.7399928306846686E-2</v>
      </c>
      <c r="K248" s="4">
        <v>4.61104480850602E-2</v>
      </c>
      <c r="L248" s="4">
        <v>4.7947650208209402E-2</v>
      </c>
      <c r="M248" s="4">
        <v>4.4959443800695248E-2</v>
      </c>
    </row>
    <row r="249" spans="1:13" x14ac:dyDescent="0.35">
      <c r="A249" s="6"/>
      <c r="B249" s="2" t="s">
        <v>262</v>
      </c>
      <c r="C249" s="4">
        <v>5.244755244755245E-3</v>
      </c>
      <c r="D249" s="4">
        <v>1.1589403973509934E-2</v>
      </c>
      <c r="E249" s="4">
        <v>1.5332197614991482E-2</v>
      </c>
      <c r="F249" s="4">
        <v>1.2500000000000001E-2</v>
      </c>
      <c r="G249" s="4">
        <v>1.2269938650306749E-2</v>
      </c>
      <c r="H249" s="4">
        <v>3.2206119162640899E-2</v>
      </c>
      <c r="I249" s="4">
        <v>1.7830609212481426E-2</v>
      </c>
      <c r="J249" s="4">
        <v>2.192242833052277E-2</v>
      </c>
      <c r="K249" s="4">
        <v>1.9005847953216377E-2</v>
      </c>
      <c r="L249" s="4">
        <v>1.9966722129783693E-2</v>
      </c>
      <c r="M249" s="4">
        <v>2.8286189683860232E-2</v>
      </c>
    </row>
    <row r="250" spans="1:13" x14ac:dyDescent="0.35">
      <c r="A250" s="6"/>
      <c r="B250" s="2" t="s">
        <v>263</v>
      </c>
      <c r="C250" s="4">
        <v>6.024096385542169E-3</v>
      </c>
      <c r="D250" s="4">
        <v>0</v>
      </c>
      <c r="E250" s="4">
        <v>0</v>
      </c>
      <c r="F250" s="4">
        <v>2.1739130434782608E-2</v>
      </c>
      <c r="G250" s="4">
        <v>7.0422535211267607E-3</v>
      </c>
      <c r="H250" s="4">
        <v>1.3157894736842105E-2</v>
      </c>
      <c r="I250" s="4">
        <v>1.5037593984962405E-2</v>
      </c>
      <c r="J250" s="4">
        <v>7.8125E-3</v>
      </c>
      <c r="K250" s="4">
        <v>9.3457943925233621E-3</v>
      </c>
      <c r="L250" s="4">
        <v>1.4925373134328358E-2</v>
      </c>
      <c r="M250" s="4">
        <v>8.130081300813009E-3</v>
      </c>
    </row>
    <row r="251" spans="1:13" x14ac:dyDescent="0.35">
      <c r="A251" s="6"/>
      <c r="B251" s="2" t="s">
        <v>264</v>
      </c>
      <c r="C251" s="4">
        <v>1.6200294550810016E-2</v>
      </c>
      <c r="D251" s="4">
        <v>1.8987341772151899E-2</v>
      </c>
      <c r="E251" s="4">
        <v>1.524390243902439E-2</v>
      </c>
      <c r="F251" s="4">
        <v>2.6470588235294117E-2</v>
      </c>
      <c r="G251" s="4">
        <v>2.8716216216216218E-2</v>
      </c>
      <c r="H251" s="4">
        <v>3.7558685446009391E-2</v>
      </c>
      <c r="I251" s="4">
        <v>4.9399198931909215E-2</v>
      </c>
      <c r="J251" s="4">
        <v>4.0106951871657755E-2</v>
      </c>
      <c r="K251" s="4">
        <v>6.290956749672344E-2</v>
      </c>
      <c r="L251" s="4">
        <v>6.2682215743440239E-2</v>
      </c>
      <c r="M251" s="4">
        <v>0.10331125827814569</v>
      </c>
    </row>
    <row r="252" spans="1:13" x14ac:dyDescent="0.35">
      <c r="A252" s="6"/>
      <c r="B252" s="2" t="s">
        <v>265</v>
      </c>
      <c r="C252" s="4">
        <v>8.7145969498910684E-3</v>
      </c>
      <c r="D252" s="4">
        <v>1.2875536480686695E-2</v>
      </c>
      <c r="E252" s="4">
        <v>1.8711018711018712E-2</v>
      </c>
      <c r="F252" s="4">
        <v>9.5923261390887284E-3</v>
      </c>
      <c r="G252" s="4">
        <v>1.8058690744920992E-2</v>
      </c>
      <c r="H252" s="4">
        <v>2.8888888888888888E-2</v>
      </c>
      <c r="I252" s="4">
        <v>2.9213483146067417E-2</v>
      </c>
      <c r="J252" s="4">
        <v>3.4642032332563515E-2</v>
      </c>
      <c r="K252" s="4">
        <v>4.148471615720524E-2</v>
      </c>
      <c r="L252" s="4">
        <v>5.6644880174291937E-2</v>
      </c>
      <c r="M252" s="4">
        <v>4.9562682215743441E-2</v>
      </c>
    </row>
    <row r="253" spans="1:13" x14ac:dyDescent="0.35">
      <c r="A253" s="6"/>
      <c r="B253" s="2" t="s">
        <v>50</v>
      </c>
      <c r="C253" s="4">
        <v>5.2910052910052907E-3</v>
      </c>
      <c r="D253" s="4">
        <v>1.2048192771084338E-2</v>
      </c>
      <c r="E253" s="4">
        <v>6.369426751592357E-3</v>
      </c>
      <c r="F253" s="4">
        <v>2.1276595744680851E-2</v>
      </c>
      <c r="G253" s="4">
        <v>0</v>
      </c>
      <c r="H253" s="4">
        <v>1.1834319526627219E-2</v>
      </c>
      <c r="I253" s="4">
        <v>2.8169014084507043E-2</v>
      </c>
      <c r="J253" s="4">
        <v>8.1300813008130073E-3</v>
      </c>
      <c r="K253" s="4">
        <v>4.4247787610619475E-2</v>
      </c>
      <c r="L253" s="4">
        <v>3.5398230088495575E-2</v>
      </c>
      <c r="M253" s="4">
        <v>5.8333333333333334E-2</v>
      </c>
    </row>
    <row r="254" spans="1:13" x14ac:dyDescent="0.35">
      <c r="A254" s="6"/>
      <c r="B254" s="2" t="s">
        <v>266</v>
      </c>
      <c r="C254" s="4">
        <v>1.8726591760299626E-2</v>
      </c>
      <c r="D254" s="4">
        <v>2.7972027972027972E-2</v>
      </c>
      <c r="E254" s="4">
        <v>1.3392857142857142E-2</v>
      </c>
      <c r="F254" s="4">
        <v>1.8867924528301886E-2</v>
      </c>
      <c r="G254" s="4">
        <v>2.4590163934426229E-2</v>
      </c>
      <c r="H254" s="4">
        <v>1.9801980198019802E-2</v>
      </c>
      <c r="I254" s="4">
        <v>2.336448598130841E-2</v>
      </c>
      <c r="J254" s="4">
        <v>2.7522935779816515E-2</v>
      </c>
      <c r="K254" s="4">
        <v>2.314814814814815E-2</v>
      </c>
      <c r="L254" s="4">
        <v>3.5242290748898682E-2</v>
      </c>
      <c r="M254" s="4">
        <v>1.5306122448979591E-2</v>
      </c>
    </row>
    <row r="255" spans="1:13" x14ac:dyDescent="0.35">
      <c r="A255" s="6"/>
      <c r="B255" s="2" t="s">
        <v>267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7.5471698113207548E-3</v>
      </c>
      <c r="J255" s="4">
        <v>4.1841004184100406E-3</v>
      </c>
      <c r="K255" s="4">
        <v>0</v>
      </c>
      <c r="L255" s="4">
        <v>9.7560975609756097E-3</v>
      </c>
      <c r="M255" s="4">
        <v>4.5045045045045045E-3</v>
      </c>
    </row>
    <row r="256" spans="1:13" x14ac:dyDescent="0.35">
      <c r="A256" s="6"/>
      <c r="B256" s="2" t="s">
        <v>268</v>
      </c>
      <c r="C256" s="4">
        <v>0</v>
      </c>
      <c r="D256" s="4">
        <v>0</v>
      </c>
      <c r="E256" s="4">
        <v>0</v>
      </c>
      <c r="F256" s="4">
        <v>6.3291139240506328E-3</v>
      </c>
      <c r="G256" s="4">
        <v>0</v>
      </c>
      <c r="H256" s="4">
        <v>0</v>
      </c>
      <c r="I256" s="4">
        <v>5.8479532163742687E-3</v>
      </c>
      <c r="J256" s="4">
        <v>0</v>
      </c>
      <c r="K256" s="4">
        <v>0</v>
      </c>
      <c r="L256" s="4">
        <v>0</v>
      </c>
      <c r="M256" s="4">
        <v>0</v>
      </c>
    </row>
  </sheetData>
  <mergeCells count="1">
    <mergeCell ref="A3:A2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weighted average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Shah</dc:creator>
  <cp:lastModifiedBy>Shah, Malaika</cp:lastModifiedBy>
  <dcterms:created xsi:type="dcterms:W3CDTF">2015-06-05T18:17:20Z</dcterms:created>
  <dcterms:modified xsi:type="dcterms:W3CDTF">2025-10-16T23:04:46Z</dcterms:modified>
</cp:coreProperties>
</file>
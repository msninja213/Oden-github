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msnin\Downloads\Oden\Oden-github\Measles Model\Datasets Used\"/>
    </mc:Choice>
  </mc:AlternateContent>
  <xr:revisionPtr revIDLastSave="0" documentId="13_ncr:1_{9BD298A4-8C9D-421B-9547-922E5C4695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1 (2)" sheetId="4" r:id="rId2"/>
    <sheet name="Sheet3" sheetId="3" r:id="rId3"/>
    <sheet name="Sheet2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4" l="1"/>
  <c r="B51" i="4"/>
  <c r="D51" i="4" s="1"/>
  <c r="E51" i="4" s="1"/>
  <c r="F51" i="4" s="1"/>
  <c r="C50" i="4"/>
  <c r="B50" i="4"/>
  <c r="D50" i="4" s="1"/>
  <c r="E50" i="4" s="1"/>
  <c r="F50" i="4" s="1"/>
  <c r="D49" i="4"/>
  <c r="E49" i="4" s="1"/>
  <c r="F49" i="4" s="1"/>
  <c r="C49" i="4"/>
  <c r="B49" i="4"/>
  <c r="C48" i="4"/>
  <c r="B48" i="4"/>
  <c r="D48" i="4" s="1"/>
  <c r="E48" i="4" s="1"/>
  <c r="F48" i="4" s="1"/>
  <c r="C47" i="4"/>
  <c r="B47" i="4"/>
  <c r="D47" i="4" s="1"/>
  <c r="E47" i="4" s="1"/>
  <c r="F47" i="4" s="1"/>
  <c r="D46" i="4"/>
  <c r="E46" i="4" s="1"/>
  <c r="F46" i="4" s="1"/>
  <c r="C46" i="4"/>
  <c r="B46" i="4"/>
  <c r="C45" i="4"/>
  <c r="B45" i="4"/>
  <c r="D45" i="4" s="1"/>
  <c r="E45" i="4" s="1"/>
  <c r="F45" i="4" s="1"/>
  <c r="C44" i="4"/>
  <c r="B44" i="4"/>
  <c r="D44" i="4" s="1"/>
  <c r="E44" i="4" s="1"/>
  <c r="F44" i="4" s="1"/>
  <c r="C43" i="4"/>
  <c r="B43" i="4"/>
  <c r="D43" i="4" s="1"/>
  <c r="E43" i="4" s="1"/>
  <c r="F43" i="4" s="1"/>
  <c r="C42" i="4"/>
  <c r="B42" i="4"/>
  <c r="D42" i="4" s="1"/>
  <c r="E42" i="4" s="1"/>
  <c r="F42" i="4" s="1"/>
  <c r="C41" i="4"/>
  <c r="B41" i="4"/>
  <c r="D41" i="4" s="1"/>
  <c r="E41" i="4" s="1"/>
  <c r="F41" i="4" s="1"/>
  <c r="D40" i="4"/>
  <c r="E40" i="4" s="1"/>
  <c r="F40" i="4" s="1"/>
  <c r="C40" i="4"/>
  <c r="B40" i="4"/>
  <c r="C39" i="4"/>
  <c r="D39" i="4" s="1"/>
  <c r="E39" i="4" s="1"/>
  <c r="F39" i="4" s="1"/>
  <c r="B39" i="4"/>
  <c r="C38" i="4"/>
  <c r="B38" i="4"/>
  <c r="D38" i="4" s="1"/>
  <c r="E38" i="4" s="1"/>
  <c r="F38" i="4" s="1"/>
  <c r="D37" i="4"/>
  <c r="E37" i="4" s="1"/>
  <c r="F37" i="4" s="1"/>
  <c r="C37" i="4"/>
  <c r="B37" i="4"/>
  <c r="D36" i="4"/>
  <c r="E36" i="4" s="1"/>
  <c r="F36" i="4" s="1"/>
  <c r="C36" i="4"/>
  <c r="B36" i="4"/>
  <c r="C35" i="4"/>
  <c r="B35" i="4"/>
  <c r="D35" i="4" s="1"/>
  <c r="E35" i="4" s="1"/>
  <c r="F35" i="4" s="1"/>
  <c r="C34" i="4"/>
  <c r="B34" i="4"/>
  <c r="D34" i="4" s="1"/>
  <c r="E34" i="4" s="1"/>
  <c r="F34" i="4" s="1"/>
  <c r="C33" i="4"/>
  <c r="B33" i="4"/>
  <c r="D33" i="4" s="1"/>
  <c r="E33" i="4" s="1"/>
  <c r="F33" i="4" s="1"/>
  <c r="C32" i="4"/>
  <c r="B32" i="4"/>
  <c r="D32" i="4" s="1"/>
  <c r="E32" i="4" s="1"/>
  <c r="F32" i="4" s="1"/>
  <c r="C31" i="4"/>
  <c r="B31" i="4"/>
  <c r="D31" i="4" s="1"/>
  <c r="E31" i="4" s="1"/>
  <c r="F31" i="4" s="1"/>
  <c r="C30" i="4"/>
  <c r="D30" i="4" s="1"/>
  <c r="E30" i="4" s="1"/>
  <c r="F30" i="4" s="1"/>
  <c r="B30" i="4"/>
  <c r="C29" i="4"/>
  <c r="D29" i="4" s="1"/>
  <c r="E29" i="4" s="1"/>
  <c r="F29" i="4" s="1"/>
  <c r="B29" i="4"/>
  <c r="D28" i="4"/>
  <c r="E28" i="4" s="1"/>
  <c r="F28" i="4" s="1"/>
  <c r="C28" i="4"/>
  <c r="B28" i="4"/>
  <c r="C27" i="4"/>
  <c r="D27" i="4" s="1"/>
  <c r="E27" i="4" s="1"/>
  <c r="F27" i="4" s="1"/>
  <c r="B27" i="4"/>
  <c r="C26" i="4"/>
  <c r="B26" i="4"/>
  <c r="D26" i="4" s="1"/>
  <c r="E26" i="4" s="1"/>
  <c r="F26" i="4" s="1"/>
  <c r="D25" i="4"/>
  <c r="E25" i="4" s="1"/>
  <c r="F25" i="4" s="1"/>
  <c r="C25" i="4"/>
  <c r="B25" i="4"/>
  <c r="D24" i="4"/>
  <c r="E24" i="4" s="1"/>
  <c r="F24" i="4" s="1"/>
  <c r="C24" i="4"/>
  <c r="B24" i="4"/>
  <c r="C23" i="4"/>
  <c r="B23" i="4"/>
  <c r="D23" i="4" s="1"/>
  <c r="E23" i="4" s="1"/>
  <c r="F23" i="4" s="1"/>
  <c r="C22" i="4"/>
  <c r="B22" i="4"/>
  <c r="D22" i="4" s="1"/>
  <c r="E22" i="4" s="1"/>
  <c r="F22" i="4" s="1"/>
  <c r="C21" i="4"/>
  <c r="B21" i="4"/>
  <c r="D21" i="4" s="1"/>
  <c r="E21" i="4" s="1"/>
  <c r="F21" i="4" s="1"/>
  <c r="C20" i="4"/>
  <c r="B20" i="4"/>
  <c r="D20" i="4" s="1"/>
  <c r="E20" i="4" s="1"/>
  <c r="F20" i="4" s="1"/>
  <c r="C19" i="4"/>
  <c r="B19" i="4"/>
  <c r="D19" i="4" s="1"/>
  <c r="E19" i="4" s="1"/>
  <c r="F19" i="4" s="1"/>
  <c r="C18" i="4"/>
  <c r="D18" i="4" s="1"/>
  <c r="E18" i="4" s="1"/>
  <c r="F18" i="4" s="1"/>
  <c r="B18" i="4"/>
  <c r="C17" i="4"/>
  <c r="D17" i="4" s="1"/>
  <c r="E17" i="4" s="1"/>
  <c r="F17" i="4" s="1"/>
  <c r="B17" i="4"/>
  <c r="C16" i="4"/>
  <c r="B16" i="4"/>
  <c r="D16" i="4" s="1"/>
  <c r="E16" i="4" s="1"/>
  <c r="F16" i="4" s="1"/>
  <c r="C15" i="4"/>
  <c r="D15" i="4" s="1"/>
  <c r="E15" i="4" s="1"/>
  <c r="F15" i="4" s="1"/>
  <c r="B15" i="4"/>
  <c r="C14" i="4"/>
  <c r="B14" i="4"/>
  <c r="D14" i="4" s="1"/>
  <c r="E14" i="4" s="1"/>
  <c r="F14" i="4" s="1"/>
  <c r="D13" i="4"/>
  <c r="E13" i="4" s="1"/>
  <c r="F13" i="4" s="1"/>
  <c r="C13" i="4"/>
  <c r="B13" i="4"/>
  <c r="D12" i="4"/>
  <c r="E12" i="4" s="1"/>
  <c r="F12" i="4" s="1"/>
  <c r="C12" i="4"/>
  <c r="B12" i="4"/>
  <c r="C11" i="4"/>
  <c r="B11" i="4"/>
  <c r="D11" i="4" s="1"/>
  <c r="E11" i="4" s="1"/>
  <c r="F11" i="4" s="1"/>
  <c r="C10" i="4"/>
  <c r="B10" i="4"/>
  <c r="D10" i="4" s="1"/>
  <c r="E10" i="4" s="1"/>
  <c r="F10" i="4" s="1"/>
  <c r="C9" i="4"/>
  <c r="B9" i="4"/>
  <c r="D9" i="4" s="1"/>
  <c r="E9" i="4" s="1"/>
  <c r="F9" i="4" s="1"/>
  <c r="C8" i="4"/>
  <c r="B8" i="4"/>
  <c r="D8" i="4" s="1"/>
  <c r="E8" i="4" s="1"/>
  <c r="F8" i="4" s="1"/>
  <c r="C7" i="4"/>
  <c r="B7" i="4"/>
  <c r="D7" i="4" s="1"/>
  <c r="E7" i="4" s="1"/>
  <c r="F7" i="4" s="1"/>
  <c r="C6" i="4"/>
  <c r="D6" i="4" s="1"/>
  <c r="E6" i="4" s="1"/>
  <c r="F6" i="4" s="1"/>
  <c r="B6" i="4"/>
  <c r="C5" i="4"/>
  <c r="D5" i="4" s="1"/>
  <c r="E5" i="4" s="1"/>
  <c r="F5" i="4" s="1"/>
  <c r="B5" i="4"/>
  <c r="C4" i="4"/>
  <c r="B4" i="4"/>
  <c r="D4" i="4" s="1"/>
  <c r="E4" i="4" s="1"/>
  <c r="F4" i="4" s="1"/>
  <c r="C3" i="4"/>
  <c r="D3" i="4" s="1"/>
  <c r="E3" i="4" s="1"/>
  <c r="F3" i="4" s="1"/>
  <c r="B3" i="4"/>
  <c r="C2" i="4"/>
  <c r="B2" i="4"/>
  <c r="D2" i="4" s="1"/>
  <c r="E2" i="4" s="1"/>
  <c r="F2" i="4" s="1"/>
  <c r="D12" i="1"/>
  <c r="D24" i="1"/>
  <c r="D3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2" i="1"/>
  <c r="D2" i="1" s="1"/>
</calcChain>
</file>

<file path=xl/sharedStrings.xml><?xml version="1.0" encoding="utf-8"?>
<sst xmlns="http://schemas.openxmlformats.org/spreadsheetml/2006/main" count="625" uniqueCount="264">
  <si>
    <t>County</t>
  </si>
  <si>
    <t>Andrews</t>
  </si>
  <si>
    <t>Atascosa</t>
  </si>
  <si>
    <t>Bailey</t>
  </si>
  <si>
    <t>Bell</t>
  </si>
  <si>
    <t>Bexar</t>
  </si>
  <si>
    <t>Borden</t>
  </si>
  <si>
    <t>Brazoria</t>
  </si>
  <si>
    <t>Brewster</t>
  </si>
  <si>
    <t>Brown</t>
  </si>
  <si>
    <t>Carson</t>
  </si>
  <si>
    <t>Cochran</t>
  </si>
  <si>
    <t>Collin</t>
  </si>
  <si>
    <t>Dallam</t>
  </si>
  <si>
    <t>Dallas</t>
  </si>
  <si>
    <t>Dawson</t>
  </si>
  <si>
    <t>Denton</t>
  </si>
  <si>
    <t>Eastland</t>
  </si>
  <si>
    <t>Ector</t>
  </si>
  <si>
    <t>El Paso</t>
  </si>
  <si>
    <t>Erath</t>
  </si>
  <si>
    <t>Fannin</t>
  </si>
  <si>
    <t>Fort Bend</t>
  </si>
  <si>
    <t>Gaines</t>
  </si>
  <si>
    <t>Garza</t>
  </si>
  <si>
    <t>Hale</t>
  </si>
  <si>
    <t>Hardeman</t>
  </si>
  <si>
    <t>Harris</t>
  </si>
  <si>
    <t>Harrison</t>
  </si>
  <si>
    <t>Hays</t>
  </si>
  <si>
    <t>Hockley</t>
  </si>
  <si>
    <t>Lamar</t>
  </si>
  <si>
    <t>Lamb</t>
  </si>
  <si>
    <t>Lubbock</t>
  </si>
  <si>
    <t>Lynn</t>
  </si>
  <si>
    <t>Martin</t>
  </si>
  <si>
    <t>McLennan</t>
  </si>
  <si>
    <t>Midland</t>
  </si>
  <si>
    <t>Parmer</t>
  </si>
  <si>
    <t>Potter</t>
  </si>
  <si>
    <t>Randall</t>
  </si>
  <si>
    <t>Reeves</t>
  </si>
  <si>
    <t>Rockwall</t>
  </si>
  <si>
    <t>Scurry</t>
  </si>
  <si>
    <t>Shackelford</t>
  </si>
  <si>
    <t>Tarrant</t>
  </si>
  <si>
    <t>Terry</t>
  </si>
  <si>
    <t>Travis</t>
  </si>
  <si>
    <t>Upshur</t>
  </si>
  <si>
    <t>Williamson</t>
  </si>
  <si>
    <t>Yoakum</t>
  </si>
  <si>
    <t>MMR</t>
  </si>
  <si>
    <t>Anderson</t>
  </si>
  <si>
    <t>Angelina</t>
  </si>
  <si>
    <t>Aransas</t>
  </si>
  <si>
    <t>Archer</t>
  </si>
  <si>
    <t>Armstrong</t>
  </si>
  <si>
    <t>Austin</t>
  </si>
  <si>
    <t>Bandera</t>
  </si>
  <si>
    <t>Bastrop</t>
  </si>
  <si>
    <t>Baylor</t>
  </si>
  <si>
    <t>Bee</t>
  </si>
  <si>
    <t>Blanco</t>
  </si>
  <si>
    <t>Bosque</t>
  </si>
  <si>
    <t>Bowie</t>
  </si>
  <si>
    <t>Brazos</t>
  </si>
  <si>
    <t>Briscoe</t>
  </si>
  <si>
    <t>Brooks</t>
  </si>
  <si>
    <t>Burleson</t>
  </si>
  <si>
    <t>Burnet</t>
  </si>
  <si>
    <t>Caldwell</t>
  </si>
  <si>
    <t>Calhoun</t>
  </si>
  <si>
    <t>Callahan</t>
  </si>
  <si>
    <t>Cameron</t>
  </si>
  <si>
    <t>Camp</t>
  </si>
  <si>
    <t>Cass</t>
  </si>
  <si>
    <t>Castro</t>
  </si>
  <si>
    <t>Chambers</t>
  </si>
  <si>
    <t>Cherokee</t>
  </si>
  <si>
    <t>Childress</t>
  </si>
  <si>
    <t>Clay</t>
  </si>
  <si>
    <t>Coke</t>
  </si>
  <si>
    <t>Coleman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</si>
  <si>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</si>
  <si>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</si>
  <si>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</si>
  <si>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</si>
  <si>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</si>
  <si>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</si>
  <si>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</si>
  <si>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</si>
  <si>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</si>
  <si>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</si>
  <si>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</si>
  <si>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</si>
  <si>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Deaf Smith</t>
  </si>
  <si>
    <t>Delta</t>
  </si>
  <si>
    <t>Dewitt</t>
  </si>
  <si>
    <t>Dickens</t>
  </si>
  <si>
    <t>Dimmit</t>
  </si>
  <si>
    <t>Donley</t>
  </si>
  <si>
    <t>Duval</t>
  </si>
  <si>
    <t>Edwards</t>
  </si>
  <si>
    <t>Ellis</t>
  </si>
  <si>
    <t>Falls</t>
  </si>
  <si>
    <t>Fayette</t>
  </si>
  <si>
    <t>Fisher</t>
  </si>
  <si>
    <t>Floyd</t>
  </si>
  <si>
    <t>Foard</t>
  </si>
  <si>
    <t>Franklin</t>
  </si>
  <si>
    <t>Freestone</t>
  </si>
  <si>
    <t>Frio</t>
  </si>
  <si>
    <t>Galveston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</si>
  <si>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</si>
  <si>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</si>
  <si>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</si>
  <si>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</si>
  <si>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</si>
  <si>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</si>
  <si>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</si>
  <si>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</si>
  <si>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</si>
  <si>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Hall</t>
  </si>
  <si>
    <t>Hamilton</t>
  </si>
  <si>
    <t>Hansford</t>
  </si>
  <si>
    <t>Hardin</t>
  </si>
  <si>
    <t>Hartley</t>
  </si>
  <si>
    <t>Haskell</t>
  </si>
  <si>
    <t>Hemphill</t>
  </si>
  <si>
    <t>Henderson</t>
  </si>
  <si>
    <t>Hidalgo</t>
  </si>
  <si>
    <t>Hill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</si>
  <si>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</si>
  <si>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</si>
  <si>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</si>
  <si>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</si>
  <si>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</si>
  <si>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</si>
  <si>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</si>
  <si>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</si>
  <si>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</si>
  <si>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</si>
  <si>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</si>
  <si>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</si>
  <si>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</si>
  <si>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</si>
  <si>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</si>
  <si>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</si>
  <si>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</si>
  <si>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</si>
  <si>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</si>
  <si>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</si>
  <si>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</si>
  <si>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</si>
  <si>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</si>
  <si>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</si>
  <si>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</si>
  <si>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</si>
  <si>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</si>
  <si>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</si>
  <si>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</si>
  <si>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</si>
  <si>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</si>
  <si>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</si>
  <si>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</si>
  <si>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</si>
  <si>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</si>
  <si>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</si>
  <si>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</si>
  <si>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</si>
  <si>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</si>
  <si>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NR</t>
  </si>
  <si>
    <t>Madison</t>
  </si>
  <si>
    <t>Marion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</si>
  <si>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</si>
  <si>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</si>
  <si>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</si>
  <si>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</si>
  <si>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</si>
  <si>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</si>
  <si>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</si>
  <si>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</si>
  <si>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</si>
  <si>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</si>
  <si>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</si>
  <si>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</si>
  <si>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</si>
  <si>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</si>
  <si>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</si>
  <si>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</si>
  <si>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</si>
  <si>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</si>
  <si>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</si>
  <si>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</si>
  <si>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</si>
  <si>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</si>
  <si>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</si>
  <si>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</si>
  <si>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</si>
  <si>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</si>
  <si>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</si>
  <si>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Pecos</t>
  </si>
  <si>
    <t>Polk</t>
  </si>
  <si>
    <t>Presidio</t>
  </si>
  <si>
    <t>Rains</t>
  </si>
  <si>
    <t>Reagan</t>
  </si>
  <si>
    <t>Real</t>
  </si>
  <si>
    <t>Red River</t>
  </si>
  <si>
    <t>Refugio</t>
  </si>
  <si>
    <t>Roberts</t>
  </si>
  <si>
    <t>Robertson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</si>
  <si>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</si>
  <si>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</si>
  <si>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</si>
  <si>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</si>
  <si>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</si>
  <si>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</si>
  <si>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</si>
  <si>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</si>
  <si>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</si>
  <si>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</si>
  <si>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</si>
  <si>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</si>
  <si>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</si>
  <si>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</si>
  <si>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</si>
  <si>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</si>
  <si>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</si>
  <si>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</si>
  <si>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Taylor</t>
  </si>
  <si>
    <t>Terrell</t>
  </si>
  <si>
    <t>Throckmorton</t>
  </si>
  <si>
    <t>Titus</t>
  </si>
  <si>
    <t>Tom Green</t>
  </si>
  <si>
    <t>Trinity</t>
  </si>
  <si>
    <t>Tyler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</si>
  <si>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</si>
  <si>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</si>
  <si>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</si>
  <si>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</si>
  <si>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</si>
  <si>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</si>
  <si>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</si>
  <si>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</si>
  <si>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</si>
  <si>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</si>
  <si>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</si>
  <si>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</si>
  <si>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</si>
  <si>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</si>
  <si>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</si>
  <si>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Wilson</t>
  </si>
  <si>
    <t>Winkler</t>
  </si>
  <si>
    <t>Wise</t>
  </si>
  <si>
    <t>Wood</t>
  </si>
  <si>
    <t>Young</t>
  </si>
  <si>
    <t>Zapata</t>
  </si>
  <si>
    <t>Zavala</t>
  </si>
  <si>
    <t>Texas</t>
  </si>
  <si>
    <t>Kindergarten</t>
  </si>
  <si>
    <t xml:space="preserve">7th Grade </t>
  </si>
  <si>
    <t>proj unvaccinated</t>
  </si>
  <si>
    <t>Average Vaccination Rate</t>
  </si>
  <si>
    <t>Vacc Rate + Exemption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</si>
</sst>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497B0"/>
        <bgColor rgb="FF000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3" borderId="1" xfId="2" applyFont="1" applyFill="1" applyBorder="1" applyAlignment="1">
      <alignment horizontal="left" indent="1"/>
    </xf>
    <xf numFmtId="10" fontId="4" fillId="3" borderId="2" xfId="1" applyNumberFormat="1" applyFont="1" applyFill="1" applyBorder="1" applyAlignment="1">
      <alignment horizontal="left"/>
    </xf>
    <xf numFmtId="0" fontId="3" fillId="2" borderId="0" xfId="0" applyFont="1" applyFill="1"/>
    <xf numFmtId="10" fontId="3" fillId="2" borderId="0" xfId="1" applyNumberFormat="1" applyFont="1" applyFill="1" applyAlignment="1">
      <alignment horizontal="right"/>
    </xf>
    <xf numFmtId="10" fontId="3" fillId="0" borderId="0" xfId="1" applyNumberFormat="1" applyFont="1" applyAlignment="1">
      <alignment horizontal="right"/>
    </xf>
    <xf numFmtId="0" fontId="2" fillId="2" borderId="0" xfId="0" applyFont="1" applyFill="1"/>
    <xf numFmtId="10" fontId="2" fillId="2" borderId="0" xfId="0" applyNumberFormat="1" applyFont="1" applyFill="1"/>
    <xf numFmtId="10" fontId="3" fillId="0" borderId="0" xfId="1" applyNumberFormat="1" applyFont="1" applyFill="1" applyAlignment="1">
      <alignment horizontal="right"/>
    </xf>
    <xf numFmtId="0" fontId="3" fillId="4" borderId="3" xfId="0" applyFont="1" applyFill="1" applyBorder="1"/>
    <xf numFmtId="10" fontId="3" fillId="4" borderId="4" xfId="1" applyNumberFormat="1" applyFont="1" applyFill="1" applyBorder="1" applyAlignment="1">
      <alignment horizontal="right"/>
    </xf>
    <xf numFmtId="0" fontId="2" fillId="0" borderId="0" xfId="0" applyFont="1"/>
    <xf numFmtId="10" fontId="2" fillId="0" borderId="0" xfId="1" applyNumberFormat="1" applyFont="1"/>
    <xf numFmtId="0" fontId="2" fillId="2" borderId="5" xfId="0" applyFont="1" applyFill="1" applyBorder="1"/>
    <xf numFmtId="10" fontId="2" fillId="2" borderId="5" xfId="1" applyNumberFormat="1" applyFont="1" applyFill="1" applyBorder="1"/>
    <xf numFmtId="0" fontId="5" fillId="0" borderId="0" xfId="0" applyFont="1"/>
  </cellXfs>
  <cellStyles count="3">
    <cellStyle name="Normal" xfId="0" builtinId="0"/>
    <cellStyle name="Normal 2" xfId="2" xr:uid="{2C067863-62CF-4C94-85C3-FF203A2456A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nin\Downloads\Oden\Oden-github\Measles%20Model\Exemption%20Rates.xlsx" TargetMode="External"/><Relationship Id="rId1" Type="http://schemas.openxmlformats.org/officeDocument/2006/relationships/externalLinkPath" Target="/Users/msnin/Downloads/Oden/Oden-github/Measles%20Model/Exemption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ta"/>
    </sheetNames>
    <sheetDataSet>
      <sheetData sheetId="0">
        <row r="2">
          <cell r="B2">
            <v>1.9900000000000001E-2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9" workbookViewId="0">
      <selection sqref="A1:A51"/>
    </sheetView>
  </sheetViews>
  <sheetFormatPr defaultRowHeight="14.5" x14ac:dyDescent="0.35"/>
  <cols>
    <col min="2" max="2" width="20.1796875" bestFit="1" customWidth="1"/>
    <col min="4" max="4" width="22" bestFit="1" customWidth="1"/>
  </cols>
  <sheetData>
    <row r="1" spans="1:4" x14ac:dyDescent="0.35">
      <c r="A1" t="s">
        <v>0</v>
      </c>
      <c r="B1" t="s">
        <v>259</v>
      </c>
      <c r="C1" t="s">
        <v>260</v>
      </c>
      <c r="D1" t="s">
        <v>262</v>
      </c>
    </row>
    <row r="2" spans="1:4" x14ac:dyDescent="0.35">
      <c r="A2" t="s">
        <v>1</v>
      </c>
      <c r="B2">
        <f>VLOOKUP(A2,Sheet2!A2:B256,2,FALSE)</f>
        <v>0.95470383275261328</v>
      </c>
      <c r="C2">
        <f>VLOOKUP(A2,Sheet3!A:B,2,FALSE)</f>
        <v>0.97846153846153849</v>
      </c>
      <c r="D2">
        <f>AVERAGE(B2:C2)</f>
        <v>0.96658268560707583</v>
      </c>
    </row>
    <row r="3" spans="1:4" x14ac:dyDescent="0.35">
      <c r="A3" t="s">
        <v>2</v>
      </c>
      <c r="B3">
        <f>VLOOKUP(A3,Sheet2!A3:B257,2,FALSE)</f>
        <v>0.9614197530864198</v>
      </c>
      <c r="C3">
        <f>VLOOKUP(A3,Sheet3!A:B,2,FALSE)</f>
        <v>0.98509687034277194</v>
      </c>
      <c r="D3">
        <f t="shared" ref="D3:D51" si="0">AVERAGE(B3:C3)</f>
        <v>0.97325831171459587</v>
      </c>
    </row>
    <row r="4" spans="1:4" x14ac:dyDescent="0.35">
      <c r="A4" t="s">
        <v>3</v>
      </c>
      <c r="B4">
        <f>VLOOKUP(A4,Sheet2!A4:B258,2,FALSE)</f>
        <v>0.96261682242990654</v>
      </c>
      <c r="C4">
        <f>VLOOKUP(A4,Sheet3!A:B,2,FALSE)</f>
        <v>1</v>
      </c>
      <c r="D4">
        <f t="shared" si="0"/>
        <v>0.98130841121495327</v>
      </c>
    </row>
    <row r="5" spans="1:4" x14ac:dyDescent="0.35">
      <c r="A5" t="s">
        <v>4</v>
      </c>
      <c r="B5">
        <f>VLOOKUP(A5,Sheet2!A5:B259,2,FALSE)</f>
        <v>0.95126114166508624</v>
      </c>
      <c r="C5">
        <f>VLOOKUP(A5,Sheet3!A:B,2,FALSE)</f>
        <v>0.97274401473296501</v>
      </c>
      <c r="D5">
        <f t="shared" si="0"/>
        <v>0.96200257819902557</v>
      </c>
    </row>
    <row r="6" spans="1:4" x14ac:dyDescent="0.35">
      <c r="A6" t="s">
        <v>5</v>
      </c>
      <c r="B6">
        <f>VLOOKUP(A6,Sheet2!A6:B260,2,FALSE)</f>
        <v>0.9474507601588511</v>
      </c>
      <c r="C6">
        <f>VLOOKUP(A6,Sheet3!A:B,2,FALSE)</f>
        <v>0.97716485405688236</v>
      </c>
      <c r="D6">
        <f t="shared" si="0"/>
        <v>0.96230780710786679</v>
      </c>
    </row>
    <row r="7" spans="1:4" x14ac:dyDescent="0.35">
      <c r="A7" t="s">
        <v>6</v>
      </c>
      <c r="B7">
        <f>VLOOKUP(A7,Sheet2!A7:B261,2,FALSE)</f>
        <v>0.88235294117647056</v>
      </c>
      <c r="C7">
        <f>VLOOKUP(A7,Sheet3!A:B,2,FALSE)</f>
        <v>0.90909090909090906</v>
      </c>
      <c r="D7">
        <f t="shared" si="0"/>
        <v>0.89572192513368987</v>
      </c>
    </row>
    <row r="8" spans="1:4" x14ac:dyDescent="0.35">
      <c r="A8" t="s">
        <v>7</v>
      </c>
      <c r="B8">
        <f>VLOOKUP(A8,Sheet2!A8:B262,2,FALSE)</f>
        <v>0.96212748344370858</v>
      </c>
      <c r="C8">
        <f>VLOOKUP(A8,Sheet3!A:B,2,FALSE)</f>
        <v>0.98536840271729664</v>
      </c>
      <c r="D8">
        <f t="shared" si="0"/>
        <v>0.97374794308050261</v>
      </c>
    </row>
    <row r="9" spans="1:4" x14ac:dyDescent="0.35">
      <c r="A9" t="s">
        <v>8</v>
      </c>
      <c r="B9">
        <f>VLOOKUP(A9,Sheet2!A9:B263,2,FALSE)</f>
        <v>0.83950617283950613</v>
      </c>
      <c r="C9">
        <f>VLOOKUP(A9,Sheet3!A:B,2,FALSE)</f>
        <v>0.91578947368421049</v>
      </c>
      <c r="D9">
        <f t="shared" si="0"/>
        <v>0.87764782326185831</v>
      </c>
    </row>
    <row r="10" spans="1:4" x14ac:dyDescent="0.35">
      <c r="A10" t="s">
        <v>9</v>
      </c>
      <c r="B10">
        <f>VLOOKUP(A10,Sheet2!A10:B264,2,FALSE)</f>
        <v>0.96</v>
      </c>
      <c r="C10">
        <f>VLOOKUP(A10,Sheet3!A:B,2,FALSE)</f>
        <v>0.97613882863340562</v>
      </c>
      <c r="D10">
        <f t="shared" si="0"/>
        <v>0.96806941431670279</v>
      </c>
    </row>
    <row r="11" spans="1:4" x14ac:dyDescent="0.35">
      <c r="A11" t="s">
        <v>10</v>
      </c>
      <c r="B11">
        <f>VLOOKUP(A11,Sheet2!A11:B265,2,FALSE)</f>
        <v>0.91954022988505746</v>
      </c>
      <c r="C11">
        <f>VLOOKUP(A11,Sheet3!A:B,2,FALSE)</f>
        <v>0.93243243243243246</v>
      </c>
      <c r="D11">
        <f t="shared" si="0"/>
        <v>0.92598633115874496</v>
      </c>
    </row>
    <row r="12" spans="1:4" x14ac:dyDescent="0.35">
      <c r="A12" t="s">
        <v>11</v>
      </c>
      <c r="B12">
        <f>VLOOKUP(A12,Sheet2!A12:B266,2,FALSE)</f>
        <v>0.92682926829268297</v>
      </c>
      <c r="C12">
        <f>VLOOKUP(A12,Sheet3!A:B,2,FALSE)</f>
        <v>1</v>
      </c>
      <c r="D12">
        <f t="shared" si="0"/>
        <v>0.96341463414634143</v>
      </c>
    </row>
    <row r="13" spans="1:4" x14ac:dyDescent="0.35">
      <c r="A13" t="s">
        <v>12</v>
      </c>
      <c r="B13">
        <f>VLOOKUP(A13,Sheet2!A13:B267,2,FALSE)</f>
        <v>0.93042340627973363</v>
      </c>
      <c r="C13">
        <f>VLOOKUP(A13,Sheet3!A:B,2,FALSE)</f>
        <v>0.96646282275286355</v>
      </c>
      <c r="D13">
        <f t="shared" si="0"/>
        <v>0.94844311451629859</v>
      </c>
    </row>
    <row r="14" spans="1:4" x14ac:dyDescent="0.35">
      <c r="A14" t="s">
        <v>13</v>
      </c>
      <c r="B14">
        <f>VLOOKUP(A14,Sheet2!A14:B268,2,FALSE)</f>
        <v>0.96590909090909094</v>
      </c>
      <c r="C14">
        <f>VLOOKUP(A14,Sheet3!A:B,2,FALSE)</f>
        <v>0.98148148148148151</v>
      </c>
      <c r="D14">
        <f t="shared" si="0"/>
        <v>0.97369528619528622</v>
      </c>
    </row>
    <row r="15" spans="1:4" x14ac:dyDescent="0.35">
      <c r="A15" t="s">
        <v>14</v>
      </c>
      <c r="B15">
        <f>VLOOKUP(A15,Sheet2!A15:B269,2,FALSE)</f>
        <v>0.90148043127040123</v>
      </c>
      <c r="C15">
        <f>VLOOKUP(A15,Sheet3!A:B,2,FALSE)</f>
        <v>0.97405045395997614</v>
      </c>
      <c r="D15">
        <f t="shared" si="0"/>
        <v>0.93776544261518868</v>
      </c>
    </row>
    <row r="16" spans="1:4" x14ac:dyDescent="0.35">
      <c r="A16" t="s">
        <v>15</v>
      </c>
      <c r="B16">
        <f>VLOOKUP(A16,Sheet2!A16:B270,2,FALSE)</f>
        <v>0.875</v>
      </c>
      <c r="C16">
        <f>VLOOKUP(A16,Sheet3!A:B,2,FALSE)</f>
        <v>0.9640718562874252</v>
      </c>
      <c r="D16">
        <f t="shared" si="0"/>
        <v>0.91953592814371254</v>
      </c>
    </row>
    <row r="17" spans="1:4" x14ac:dyDescent="0.35">
      <c r="A17" t="s">
        <v>16</v>
      </c>
      <c r="B17">
        <f>VLOOKUP(A17,Sheet2!A17:B271,2,FALSE)</f>
        <v>0.91715196132293153</v>
      </c>
      <c r="C17">
        <f>VLOOKUP(A17,Sheet3!A:B,2,FALSE)</f>
        <v>0.95281956810971247</v>
      </c>
      <c r="D17">
        <f t="shared" si="0"/>
        <v>0.934985764716322</v>
      </c>
    </row>
    <row r="18" spans="1:4" x14ac:dyDescent="0.35">
      <c r="A18" t="s">
        <v>17</v>
      </c>
      <c r="B18">
        <f>VLOOKUP(A18,Sheet2!A18:B272,2,FALSE)</f>
        <v>0.90322580645161288</v>
      </c>
      <c r="C18">
        <f>VLOOKUP(A18,Sheet3!A:B,2,FALSE)</f>
        <v>0.95424836601307195</v>
      </c>
      <c r="D18">
        <f t="shared" si="0"/>
        <v>0.92873708623234241</v>
      </c>
    </row>
    <row r="19" spans="1:4" x14ac:dyDescent="0.35">
      <c r="A19" t="s">
        <v>18</v>
      </c>
      <c r="B19">
        <f>VLOOKUP(A19,Sheet2!A19:B273,2,FALSE)</f>
        <v>0.93645357686453579</v>
      </c>
      <c r="C19">
        <f>VLOOKUP(A19,Sheet3!A:B,2,FALSE)</f>
        <v>0.97560015741833928</v>
      </c>
      <c r="D19">
        <f t="shared" si="0"/>
        <v>0.95602686714143759</v>
      </c>
    </row>
    <row r="20" spans="1:4" x14ac:dyDescent="0.35">
      <c r="A20" t="s">
        <v>19</v>
      </c>
      <c r="B20">
        <f>VLOOKUP(A20,Sheet2!A20:B274,2,FALSE)</f>
        <v>0.97775283192162465</v>
      </c>
      <c r="C20">
        <f>VLOOKUP(A20,Sheet3!A:B,2,FALSE)</f>
        <v>0.99060026385224276</v>
      </c>
      <c r="D20">
        <f t="shared" si="0"/>
        <v>0.98417654788693376</v>
      </c>
    </row>
    <row r="21" spans="1:4" x14ac:dyDescent="0.35">
      <c r="A21" t="s">
        <v>20</v>
      </c>
      <c r="B21">
        <f>VLOOKUP(A21,Sheet2!A21:B275,2,FALSE)</f>
        <v>0.94942528735632181</v>
      </c>
      <c r="C21">
        <f>VLOOKUP(A21,Sheet3!A:B,2,FALSE)</f>
        <v>0.95601851851851849</v>
      </c>
      <c r="D21">
        <f t="shared" si="0"/>
        <v>0.9527219029374201</v>
      </c>
    </row>
    <row r="22" spans="1:4" x14ac:dyDescent="0.35">
      <c r="A22" t="s">
        <v>21</v>
      </c>
      <c r="B22">
        <f>VLOOKUP(A22,Sheet2!A22:B276,2,FALSE)</f>
        <v>0.91737891737891741</v>
      </c>
      <c r="C22">
        <f>VLOOKUP(A22,Sheet3!A:B,2,FALSE)</f>
        <v>0.95886889460154245</v>
      </c>
      <c r="D22">
        <f t="shared" si="0"/>
        <v>0.93812390599022999</v>
      </c>
    </row>
    <row r="23" spans="1:4" x14ac:dyDescent="0.35">
      <c r="A23" t="s">
        <v>22</v>
      </c>
      <c r="B23">
        <f>VLOOKUP(A23,Sheet2!A23:B277,2,FALSE)</f>
        <v>0.95229805013927582</v>
      </c>
      <c r="C23">
        <f>VLOOKUP(A23,Sheet3!A:B,2,FALSE)</f>
        <v>0.98553207690843325</v>
      </c>
      <c r="D23">
        <f t="shared" si="0"/>
        <v>0.96891506352385459</v>
      </c>
    </row>
    <row r="24" spans="1:4" x14ac:dyDescent="0.35">
      <c r="A24" t="s">
        <v>23</v>
      </c>
      <c r="B24">
        <f>VLOOKUP(A24,Sheet2!A24:B278,2,FALSE)</f>
        <v>0.77256317689530685</v>
      </c>
      <c r="C24">
        <f>VLOOKUP(A24,Sheet3!A:B,2,FALSE)</f>
        <v>0.84782608695652173</v>
      </c>
      <c r="D24">
        <f t="shared" si="0"/>
        <v>0.81019463192591434</v>
      </c>
    </row>
    <row r="25" spans="1:4" x14ac:dyDescent="0.35">
      <c r="A25" t="s">
        <v>24</v>
      </c>
      <c r="B25">
        <f>VLOOKUP(A25,Sheet2!A25:B279,2,FALSE)</f>
        <v>0.86486486486486491</v>
      </c>
      <c r="C25">
        <f>VLOOKUP(A25,Sheet3!A:B,2,FALSE)</f>
        <v>0.97916666666666663</v>
      </c>
      <c r="D25">
        <f t="shared" si="0"/>
        <v>0.92201576576576572</v>
      </c>
    </row>
    <row r="26" spans="1:4" x14ac:dyDescent="0.35">
      <c r="A26" t="s">
        <v>25</v>
      </c>
      <c r="B26">
        <f>VLOOKUP(A26,Sheet2!A26:B280,2,FALSE)</f>
        <v>0.97619047619047616</v>
      </c>
      <c r="C26">
        <f>VLOOKUP(A26,Sheet3!A:B,2,FALSE)</f>
        <v>0.99546485260770978</v>
      </c>
      <c r="D26">
        <f t="shared" si="0"/>
        <v>0.98582766439909297</v>
      </c>
    </row>
    <row r="27" spans="1:4" x14ac:dyDescent="0.35">
      <c r="A27" t="s">
        <v>26</v>
      </c>
      <c r="B27">
        <f>VLOOKUP(A27,Sheet2!A27:B281,2,FALSE)</f>
        <v>0.97222222222222221</v>
      </c>
      <c r="C27">
        <f>VLOOKUP(A27,Sheet3!A:B,2,FALSE)</f>
        <v>1</v>
      </c>
      <c r="D27">
        <f t="shared" si="0"/>
        <v>0.98611111111111116</v>
      </c>
    </row>
    <row r="28" spans="1:4" x14ac:dyDescent="0.35">
      <c r="A28" t="s">
        <v>27</v>
      </c>
      <c r="B28">
        <f>VLOOKUP(A28,Sheet2!A28:B282,2,FALSE)</f>
        <v>0.90954295216415626</v>
      </c>
      <c r="C28">
        <f>VLOOKUP(A28,Sheet3!A:B,2,FALSE)</f>
        <v>0.95574363796984985</v>
      </c>
      <c r="D28">
        <f t="shared" si="0"/>
        <v>0.93264329506700305</v>
      </c>
    </row>
    <row r="29" spans="1:4" x14ac:dyDescent="0.35">
      <c r="A29" t="s">
        <v>28</v>
      </c>
      <c r="B29">
        <f>VLOOKUP(A29,Sheet2!A29:B283,2,FALSE)</f>
        <v>0.92998833138856474</v>
      </c>
      <c r="C29">
        <f>VLOOKUP(A29,Sheet3!A:B,2,FALSE)</f>
        <v>0.98140043763676144</v>
      </c>
      <c r="D29">
        <f t="shared" si="0"/>
        <v>0.95569438451266309</v>
      </c>
    </row>
    <row r="30" spans="1:4" x14ac:dyDescent="0.35">
      <c r="A30" t="s">
        <v>29</v>
      </c>
      <c r="B30">
        <f>VLOOKUP(A30,Sheet2!A30:B284,2,FALSE)</f>
        <v>0.94626865671641791</v>
      </c>
      <c r="C30">
        <f>VLOOKUP(A30,Sheet3!A:B,2,FALSE)</f>
        <v>0.96644498186215233</v>
      </c>
      <c r="D30">
        <f t="shared" si="0"/>
        <v>0.95635681928928507</v>
      </c>
    </row>
    <row r="31" spans="1:4" x14ac:dyDescent="0.35">
      <c r="A31" t="s">
        <v>30</v>
      </c>
      <c r="B31">
        <f>VLOOKUP(A31,Sheet2!A31:B285,2,FALSE)</f>
        <v>0.94533762057877813</v>
      </c>
      <c r="C31">
        <f>VLOOKUP(A31,Sheet3!A:B,2,FALSE)</f>
        <v>0.9850746268656716</v>
      </c>
      <c r="D31">
        <f t="shared" si="0"/>
        <v>0.96520612372222492</v>
      </c>
    </row>
    <row r="32" spans="1:4" x14ac:dyDescent="0.35">
      <c r="A32" t="s">
        <v>31</v>
      </c>
      <c r="B32">
        <f>VLOOKUP(A32,Sheet2!A32:B286,2,FALSE)</f>
        <v>0.94252873563218387</v>
      </c>
      <c r="C32">
        <f>VLOOKUP(A32,Sheet3!A:B,2,FALSE)</f>
        <v>0.9756838905775076</v>
      </c>
      <c r="D32">
        <f t="shared" si="0"/>
        <v>0.95910631310484573</v>
      </c>
    </row>
    <row r="33" spans="1:4" x14ac:dyDescent="0.35">
      <c r="A33" t="s">
        <v>32</v>
      </c>
      <c r="B33">
        <f>VLOOKUP(A33,Sheet2!A33:B287,2,FALSE)</f>
        <v>0.92546583850931674</v>
      </c>
      <c r="C33">
        <f>VLOOKUP(A33,Sheet3!A:B,2,FALSE)</f>
        <v>0.98584905660377353</v>
      </c>
      <c r="D33">
        <f t="shared" si="0"/>
        <v>0.95565744755654514</v>
      </c>
    </row>
    <row r="34" spans="1:4" x14ac:dyDescent="0.35">
      <c r="A34" t="s">
        <v>33</v>
      </c>
      <c r="B34">
        <f>VLOOKUP(A34,Sheet2!A34:B288,2,FALSE)</f>
        <v>0.91341077085533262</v>
      </c>
      <c r="C34">
        <f>VLOOKUP(A34,Sheet3!A:B,2,FALSE)</f>
        <v>0.97000521648408977</v>
      </c>
      <c r="D34">
        <f t="shared" si="0"/>
        <v>0.94170799366971125</v>
      </c>
    </row>
    <row r="35" spans="1:4" x14ac:dyDescent="0.35">
      <c r="A35" t="s">
        <v>34</v>
      </c>
      <c r="B35">
        <f>VLOOKUP(A35,Sheet2!A35:B289,2,FALSE)</f>
        <v>0.91304347826086951</v>
      </c>
      <c r="C35">
        <f>VLOOKUP(A35,Sheet3!A:B,2,FALSE)</f>
        <v>0.89393939393939392</v>
      </c>
      <c r="D35">
        <f t="shared" si="0"/>
        <v>0.90349143610013172</v>
      </c>
    </row>
    <row r="36" spans="1:4" x14ac:dyDescent="0.35">
      <c r="A36" t="s">
        <v>35</v>
      </c>
      <c r="B36">
        <f>VLOOKUP(A36,Sheet2!A36:B290,2,FALSE)</f>
        <v>0.92957746478873238</v>
      </c>
      <c r="C36">
        <f>VLOOKUP(A36,Sheet3!A:B,2,FALSE)</f>
        <v>0.96153846153846156</v>
      </c>
      <c r="D36">
        <f t="shared" si="0"/>
        <v>0.94555796316359697</v>
      </c>
    </row>
    <row r="37" spans="1:4" x14ac:dyDescent="0.35">
      <c r="A37" t="s">
        <v>36</v>
      </c>
      <c r="B37">
        <f>VLOOKUP(A37,Sheet2!A37:B291,2,FALSE)</f>
        <v>0.95281815863300179</v>
      </c>
      <c r="C37">
        <f>VLOOKUP(A37,Sheet3!A:B,2,FALSE)</f>
        <v>0.97571795470464628</v>
      </c>
      <c r="D37">
        <f t="shared" si="0"/>
        <v>0.96426805666882398</v>
      </c>
    </row>
    <row r="38" spans="1:4" x14ac:dyDescent="0.35">
      <c r="A38" t="s">
        <v>37</v>
      </c>
      <c r="B38">
        <f>VLOOKUP(A38,Sheet2!A38:B292,2,FALSE)</f>
        <v>0.94448640483383683</v>
      </c>
      <c r="C38">
        <f>VLOOKUP(A38,Sheet3!A:B,2,FALSE)</f>
        <v>0.978939450921399</v>
      </c>
      <c r="D38">
        <f t="shared" si="0"/>
        <v>0.96171292787761797</v>
      </c>
    </row>
    <row r="39" spans="1:4" x14ac:dyDescent="0.35">
      <c r="A39" t="s">
        <v>38</v>
      </c>
      <c r="B39">
        <f>VLOOKUP(A39,Sheet2!A39:B293,2,FALSE)</f>
        <v>0.97241379310344822</v>
      </c>
      <c r="C39">
        <f>VLOOKUP(A39,Sheet3!A:B,2,FALSE)</f>
        <v>0.98089171974522293</v>
      </c>
      <c r="D39">
        <f t="shared" si="0"/>
        <v>0.97665275642433558</v>
      </c>
    </row>
    <row r="40" spans="1:4" x14ac:dyDescent="0.35">
      <c r="A40" t="s">
        <v>39</v>
      </c>
      <c r="B40">
        <f>VLOOKUP(A40,Sheet2!A40:B294,2,FALSE)</f>
        <v>0.95959595959595956</v>
      </c>
      <c r="C40">
        <f>VLOOKUP(A40,Sheet3!A:B,2,FALSE)</f>
        <v>0.98703928716079381</v>
      </c>
      <c r="D40">
        <f t="shared" si="0"/>
        <v>0.97331762337837668</v>
      </c>
    </row>
    <row r="41" spans="1:4" x14ac:dyDescent="0.35">
      <c r="A41" t="s">
        <v>40</v>
      </c>
      <c r="B41">
        <f>VLOOKUP(A41,Sheet2!A41:B295,2,FALSE)</f>
        <v>0.92928039702233256</v>
      </c>
      <c r="C41">
        <f>VLOOKUP(A41,Sheet3!A:B,2,FALSE)</f>
        <v>0.97294250281848926</v>
      </c>
      <c r="D41">
        <f t="shared" si="0"/>
        <v>0.95111144992041097</v>
      </c>
    </row>
    <row r="42" spans="1:4" x14ac:dyDescent="0.35">
      <c r="A42" t="s">
        <v>41</v>
      </c>
      <c r="B42">
        <f>VLOOKUP(A42,Sheet2!A42:B296,2,FALSE)</f>
        <v>0.98604651162790702</v>
      </c>
      <c r="C42">
        <f>VLOOKUP(A42,Sheet3!A:B,2,FALSE)</f>
        <v>1</v>
      </c>
      <c r="D42">
        <f t="shared" si="0"/>
        <v>0.99302325581395356</v>
      </c>
    </row>
    <row r="43" spans="1:4" x14ac:dyDescent="0.35">
      <c r="A43" t="s">
        <v>42</v>
      </c>
      <c r="B43">
        <f>VLOOKUP(A43,Sheet2!A43:B297,2,FALSE)</f>
        <v>0.90909090909090906</v>
      </c>
      <c r="C43">
        <f>VLOOKUP(A43,Sheet3!A:B,2,FALSE)</f>
        <v>0.96523250760538892</v>
      </c>
      <c r="D43">
        <f t="shared" si="0"/>
        <v>0.93716170834814894</v>
      </c>
    </row>
    <row r="44" spans="1:4" x14ac:dyDescent="0.35">
      <c r="A44" t="s">
        <v>43</v>
      </c>
      <c r="B44">
        <f>VLOOKUP(A44,Sheet2!A44:B298,2,FALSE)</f>
        <v>0.97252747252747251</v>
      </c>
      <c r="C44">
        <f>VLOOKUP(A44,Sheet3!A:B,2,FALSE)</f>
        <v>0.98578199052132698</v>
      </c>
      <c r="D44">
        <f t="shared" si="0"/>
        <v>0.9791547315243998</v>
      </c>
    </row>
    <row r="45" spans="1:4" x14ac:dyDescent="0.35">
      <c r="A45" t="s">
        <v>44</v>
      </c>
      <c r="B45">
        <f>VLOOKUP(A45,Sheet2!A45:B299,2,FALSE)</f>
        <v>0.90243902439024393</v>
      </c>
      <c r="C45">
        <f>VLOOKUP(A45,Sheet3!A:B,2,FALSE)</f>
        <v>1</v>
      </c>
      <c r="D45">
        <f t="shared" si="0"/>
        <v>0.95121951219512191</v>
      </c>
    </row>
    <row r="46" spans="1:4" x14ac:dyDescent="0.35">
      <c r="A46" t="s">
        <v>45</v>
      </c>
      <c r="B46">
        <f>VLOOKUP(A46,Sheet2!A46:B300,2,FALSE)</f>
        <v>0.9363544813695871</v>
      </c>
      <c r="C46">
        <f>VLOOKUP(A46,Sheet3!A:B,2,FALSE)</f>
        <v>0.97550931946250541</v>
      </c>
      <c r="D46">
        <f t="shared" si="0"/>
        <v>0.95593190041604625</v>
      </c>
    </row>
    <row r="47" spans="1:4" x14ac:dyDescent="0.35">
      <c r="A47" t="s">
        <v>46</v>
      </c>
      <c r="B47">
        <f>VLOOKUP(A47,Sheet2!A47:B301,2,FALSE)</f>
        <v>0.93076923076923079</v>
      </c>
      <c r="C47">
        <f>VLOOKUP(A47,Sheet3!A:B,2,FALSE)</f>
        <v>0.96913580246913578</v>
      </c>
      <c r="D47">
        <f t="shared" si="0"/>
        <v>0.94995251661918334</v>
      </c>
    </row>
    <row r="48" spans="1:4" x14ac:dyDescent="0.35">
      <c r="A48" t="s">
        <v>47</v>
      </c>
      <c r="B48">
        <f>VLOOKUP(A48,Sheet2!A48:B302,2,FALSE)</f>
        <v>0.86702561592429439</v>
      </c>
      <c r="C48">
        <f>VLOOKUP(A48,Sheet3!A:B,2,FALSE)</f>
        <v>0.96489802551393511</v>
      </c>
      <c r="D48">
        <f t="shared" si="0"/>
        <v>0.91596182071911469</v>
      </c>
    </row>
    <row r="49" spans="1:4" x14ac:dyDescent="0.35">
      <c r="A49" t="s">
        <v>48</v>
      </c>
      <c r="B49">
        <f>VLOOKUP(A49,Sheet2!A49:B303,2,FALSE)</f>
        <v>0.89690721649484539</v>
      </c>
      <c r="C49">
        <f>VLOOKUP(A49,Sheet3!A:B,2,FALSE)</f>
        <v>0.96711798839458418</v>
      </c>
      <c r="D49">
        <f t="shared" si="0"/>
        <v>0.93201260244471484</v>
      </c>
    </row>
    <row r="50" spans="1:4" x14ac:dyDescent="0.35">
      <c r="A50" t="s">
        <v>49</v>
      </c>
      <c r="B50">
        <f>VLOOKUP(A50,Sheet2!A50:B304,2,FALSE)</f>
        <v>0.93076162215628089</v>
      </c>
      <c r="C50">
        <f>VLOOKUP(A50,Sheet3!A:B,2,FALSE)</f>
        <v>0.96256532066508316</v>
      </c>
      <c r="D50">
        <f t="shared" si="0"/>
        <v>0.94666347141068208</v>
      </c>
    </row>
    <row r="51" spans="1:4" x14ac:dyDescent="0.35">
      <c r="A51" t="s">
        <v>50</v>
      </c>
      <c r="B51">
        <f>VLOOKUP(A51,Sheet2!A51:B305,2,FALSE)</f>
        <v>0.94615384615384612</v>
      </c>
      <c r="C51">
        <f>VLOOKUP(A51,Sheet3!A:B,2,FALSE)</f>
        <v>1</v>
      </c>
      <c r="D51">
        <f t="shared" si="0"/>
        <v>0.97307692307692306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B50E-3210-466A-A086-A4D568589BFD}">
  <dimension ref="A1:F51"/>
  <sheetViews>
    <sheetView workbookViewId="0">
      <selection activeCell="C14" sqref="C14"/>
    </sheetView>
  </sheetViews>
  <sheetFormatPr defaultRowHeight="14.5" x14ac:dyDescent="0.35"/>
  <cols>
    <col min="2" max="2" width="20.1796875" bestFit="1" customWidth="1"/>
    <col min="4" max="4" width="22" bestFit="1" customWidth="1"/>
    <col min="5" max="5" width="19.7265625" bestFit="1" customWidth="1"/>
    <col min="6" max="6" width="15.7265625" bestFit="1" customWidth="1"/>
  </cols>
  <sheetData>
    <row r="1" spans="1:6" x14ac:dyDescent="0.35">
      <c r="A1" t="s">
        <v>0</v>
      </c>
      <c r="B1" t="s">
        <v>259</v>
      </c>
      <c r="C1" t="s">
        <v>260</v>
      </c>
      <c r="D1" t="s">
        <v>262</v>
      </c>
      <c r="E1" t="s">
        <v>263</v>
      </c>
      <c r="F1" t="s">
        <v>261</v>
      </c>
    </row>
    <row r="2" spans="1:6" x14ac:dyDescent="0.35">
      <c r="A2" t="s">
        <v>1</v>
      </c>
      <c r="B2">
        <f>VLOOKUP(A2,Sheet2!A2:B256,2,FALSE)</f>
        <v>0.95470383275261328</v>
      </c>
      <c r="C2">
        <f>VLOOKUP(A2,Sheet3!A:B,2,FALSE)</f>
        <v>0.97846153846153849</v>
      </c>
      <c r="D2">
        <f>AVERAGE(B2:C2)</f>
        <v>0.96658268560707583</v>
      </c>
      <c r="E2">
        <f>D2+[1]Sheet1!$B$2</f>
        <v>0.98648268560707586</v>
      </c>
      <c r="F2">
        <f>1-E2</f>
        <v>1.351731439292414E-2</v>
      </c>
    </row>
    <row r="3" spans="1:6" x14ac:dyDescent="0.35">
      <c r="A3" t="s">
        <v>2</v>
      </c>
      <c r="B3">
        <f>VLOOKUP(A3,Sheet2!A3:B257,2,FALSE)</f>
        <v>0.9614197530864198</v>
      </c>
      <c r="C3">
        <f>VLOOKUP(A3,Sheet3!A:B,2,FALSE)</f>
        <v>0.98509687034277194</v>
      </c>
      <c r="D3">
        <f t="shared" ref="D3:D51" si="0">AVERAGE(B3:C3)</f>
        <v>0.97325831171459587</v>
      </c>
      <c r="E3">
        <f>D3+[1]Sheet1!$B$2</f>
        <v>0.9931583117145959</v>
      </c>
      <c r="F3">
        <f t="shared" ref="F3:F51" si="1">1-E3</f>
        <v>6.8416882854041017E-3</v>
      </c>
    </row>
    <row r="4" spans="1:6" x14ac:dyDescent="0.35">
      <c r="A4" t="s">
        <v>3</v>
      </c>
      <c r="B4">
        <f>VLOOKUP(A4,Sheet2!A4:B258,2,FALSE)</f>
        <v>0.96261682242990654</v>
      </c>
      <c r="C4">
        <f>VLOOKUP(A4,Sheet3!A:B,2,FALSE)</f>
        <v>1</v>
      </c>
      <c r="D4">
        <f t="shared" si="0"/>
        <v>0.98130841121495327</v>
      </c>
      <c r="E4">
        <f>D4+[1]Sheet1!$B$2</f>
        <v>1.0012084112149533</v>
      </c>
      <c r="F4">
        <f t="shared" si="1"/>
        <v>-1.2084112149532977E-3</v>
      </c>
    </row>
    <row r="5" spans="1:6" x14ac:dyDescent="0.35">
      <c r="A5" t="s">
        <v>4</v>
      </c>
      <c r="B5">
        <f>VLOOKUP(A5,Sheet2!A5:B259,2,FALSE)</f>
        <v>0.95126114166508624</v>
      </c>
      <c r="C5">
        <f>VLOOKUP(A5,Sheet3!A:B,2,FALSE)</f>
        <v>0.97274401473296501</v>
      </c>
      <c r="D5">
        <f t="shared" si="0"/>
        <v>0.96200257819902557</v>
      </c>
      <c r="E5">
        <f>D5+[1]Sheet1!$B$2</f>
        <v>0.9819025781990256</v>
      </c>
      <c r="F5">
        <f t="shared" si="1"/>
        <v>1.80974218009744E-2</v>
      </c>
    </row>
    <row r="6" spans="1:6" x14ac:dyDescent="0.35">
      <c r="A6" t="s">
        <v>5</v>
      </c>
      <c r="B6">
        <f>VLOOKUP(A6,Sheet2!A6:B260,2,FALSE)</f>
        <v>0.9474507601588511</v>
      </c>
      <c r="C6">
        <f>VLOOKUP(A6,Sheet3!A:B,2,FALSE)</f>
        <v>0.97716485405688236</v>
      </c>
      <c r="D6">
        <f t="shared" si="0"/>
        <v>0.96230780710786679</v>
      </c>
      <c r="E6">
        <f>D6+[1]Sheet1!$B$2</f>
        <v>0.98220780710786681</v>
      </c>
      <c r="F6">
        <f t="shared" si="1"/>
        <v>1.7792192892133185E-2</v>
      </c>
    </row>
    <row r="7" spans="1:6" x14ac:dyDescent="0.35">
      <c r="A7" t="s">
        <v>6</v>
      </c>
      <c r="B7">
        <f>VLOOKUP(A7,Sheet2!A7:B261,2,FALSE)</f>
        <v>0.88235294117647056</v>
      </c>
      <c r="C7">
        <f>VLOOKUP(A7,Sheet3!A:B,2,FALSE)</f>
        <v>0.90909090909090906</v>
      </c>
      <c r="D7">
        <f t="shared" si="0"/>
        <v>0.89572192513368987</v>
      </c>
      <c r="E7">
        <f>D7+[1]Sheet1!$B$2</f>
        <v>0.9156219251336899</v>
      </c>
      <c r="F7">
        <f t="shared" si="1"/>
        <v>8.4378074866310104E-2</v>
      </c>
    </row>
    <row r="8" spans="1:6" x14ac:dyDescent="0.35">
      <c r="A8" t="s">
        <v>7</v>
      </c>
      <c r="B8">
        <f>VLOOKUP(A8,Sheet2!A8:B262,2,FALSE)</f>
        <v>0.96212748344370858</v>
      </c>
      <c r="C8">
        <f>VLOOKUP(A8,Sheet3!A:B,2,FALSE)</f>
        <v>0.98536840271729664</v>
      </c>
      <c r="D8">
        <f t="shared" si="0"/>
        <v>0.97374794308050261</v>
      </c>
      <c r="E8">
        <f>D8+[1]Sheet1!$B$2</f>
        <v>0.99364794308050264</v>
      </c>
      <c r="F8">
        <f t="shared" si="1"/>
        <v>6.352056919497362E-3</v>
      </c>
    </row>
    <row r="9" spans="1:6" x14ac:dyDescent="0.35">
      <c r="A9" t="s">
        <v>8</v>
      </c>
      <c r="B9">
        <f>VLOOKUP(A9,Sheet2!A9:B263,2,FALSE)</f>
        <v>0.83950617283950613</v>
      </c>
      <c r="C9">
        <f>VLOOKUP(A9,Sheet3!A:B,2,FALSE)</f>
        <v>0.91578947368421049</v>
      </c>
      <c r="D9">
        <f t="shared" si="0"/>
        <v>0.87764782326185831</v>
      </c>
      <c r="E9">
        <f>D9+[1]Sheet1!$B$2</f>
        <v>0.89754782326185834</v>
      </c>
      <c r="F9">
        <f t="shared" si="1"/>
        <v>0.10245217673814166</v>
      </c>
    </row>
    <row r="10" spans="1:6" x14ac:dyDescent="0.35">
      <c r="A10" t="s">
        <v>9</v>
      </c>
      <c r="B10">
        <f>VLOOKUP(A10,Sheet2!A10:B264,2,FALSE)</f>
        <v>0.96</v>
      </c>
      <c r="C10">
        <f>VLOOKUP(A10,Sheet3!A:B,2,FALSE)</f>
        <v>0.97613882863340562</v>
      </c>
      <c r="D10">
        <f t="shared" si="0"/>
        <v>0.96806941431670279</v>
      </c>
      <c r="E10">
        <f>D10+[1]Sheet1!$B$2</f>
        <v>0.98796941431670282</v>
      </c>
      <c r="F10">
        <f t="shared" si="1"/>
        <v>1.2030585683297179E-2</v>
      </c>
    </row>
    <row r="11" spans="1:6" x14ac:dyDescent="0.35">
      <c r="A11" t="s">
        <v>10</v>
      </c>
      <c r="B11">
        <f>VLOOKUP(A11,Sheet2!A11:B265,2,FALSE)</f>
        <v>0.91954022988505746</v>
      </c>
      <c r="C11">
        <f>VLOOKUP(A11,Sheet3!A:B,2,FALSE)</f>
        <v>0.93243243243243246</v>
      </c>
      <c r="D11">
        <f t="shared" si="0"/>
        <v>0.92598633115874496</v>
      </c>
      <c r="E11">
        <f>D11+[1]Sheet1!$B$2</f>
        <v>0.94588633115874499</v>
      </c>
      <c r="F11">
        <f t="shared" si="1"/>
        <v>5.4113668841255014E-2</v>
      </c>
    </row>
    <row r="12" spans="1:6" x14ac:dyDescent="0.35">
      <c r="A12" t="s">
        <v>11</v>
      </c>
      <c r="B12">
        <f>VLOOKUP(A12,Sheet2!A12:B266,2,FALSE)</f>
        <v>0.92682926829268297</v>
      </c>
      <c r="C12">
        <f>VLOOKUP(A12,Sheet3!A:B,2,FALSE)</f>
        <v>1</v>
      </c>
      <c r="D12">
        <f t="shared" si="0"/>
        <v>0.96341463414634143</v>
      </c>
      <c r="E12">
        <f>D12+[1]Sheet1!$B$2</f>
        <v>0.98331463414634146</v>
      </c>
      <c r="F12">
        <f t="shared" si="1"/>
        <v>1.668536585365854E-2</v>
      </c>
    </row>
    <row r="13" spans="1:6" x14ac:dyDescent="0.35">
      <c r="A13" t="s">
        <v>12</v>
      </c>
      <c r="B13">
        <f>VLOOKUP(A13,Sheet2!A13:B267,2,FALSE)</f>
        <v>0.93042340627973363</v>
      </c>
      <c r="C13">
        <f>VLOOKUP(A13,Sheet3!A:B,2,FALSE)</f>
        <v>0.96646282275286355</v>
      </c>
      <c r="D13">
        <f t="shared" si="0"/>
        <v>0.94844311451629859</v>
      </c>
      <c r="E13">
        <f>D13+[1]Sheet1!$B$2</f>
        <v>0.96834311451629862</v>
      </c>
      <c r="F13">
        <f t="shared" si="1"/>
        <v>3.165688548370138E-2</v>
      </c>
    </row>
    <row r="14" spans="1:6" x14ac:dyDescent="0.35">
      <c r="A14" t="s">
        <v>13</v>
      </c>
      <c r="B14">
        <f>VLOOKUP(A14,Sheet2!A14:B268,2,FALSE)</f>
        <v>0.96590909090909094</v>
      </c>
      <c r="C14">
        <f>VLOOKUP(A14,Sheet3!A:B,2,FALSE)</f>
        <v>0.98148148148148151</v>
      </c>
      <c r="D14">
        <f t="shared" si="0"/>
        <v>0.97369528619528622</v>
      </c>
      <c r="E14">
        <f>D14+[1]Sheet1!$B$2</f>
        <v>0.99359528619528625</v>
      </c>
      <c r="F14">
        <f t="shared" si="1"/>
        <v>6.4047138047137464E-3</v>
      </c>
    </row>
    <row r="15" spans="1:6" x14ac:dyDescent="0.35">
      <c r="A15" t="s">
        <v>14</v>
      </c>
      <c r="B15">
        <f>VLOOKUP(A15,Sheet2!A15:B269,2,FALSE)</f>
        <v>0.90148043127040123</v>
      </c>
      <c r="C15">
        <f>VLOOKUP(A15,Sheet3!A:B,2,FALSE)</f>
        <v>0.97405045395997614</v>
      </c>
      <c r="D15">
        <f t="shared" si="0"/>
        <v>0.93776544261518868</v>
      </c>
      <c r="E15">
        <f>D15+[1]Sheet1!$B$2</f>
        <v>0.95766544261518871</v>
      </c>
      <c r="F15">
        <f t="shared" si="1"/>
        <v>4.2334557384811289E-2</v>
      </c>
    </row>
    <row r="16" spans="1:6" x14ac:dyDescent="0.35">
      <c r="A16" t="s">
        <v>15</v>
      </c>
      <c r="B16">
        <f>VLOOKUP(A16,Sheet2!A16:B270,2,FALSE)</f>
        <v>0.875</v>
      </c>
      <c r="C16">
        <f>VLOOKUP(A16,Sheet3!A:B,2,FALSE)</f>
        <v>0.9640718562874252</v>
      </c>
      <c r="D16">
        <f t="shared" si="0"/>
        <v>0.91953592814371254</v>
      </c>
      <c r="E16">
        <f>D16+[1]Sheet1!$B$2</f>
        <v>0.93943592814371257</v>
      </c>
      <c r="F16">
        <f t="shared" si="1"/>
        <v>6.0564071856287427E-2</v>
      </c>
    </row>
    <row r="17" spans="1:6" x14ac:dyDescent="0.35">
      <c r="A17" t="s">
        <v>16</v>
      </c>
      <c r="B17">
        <f>VLOOKUP(A17,Sheet2!A17:B271,2,FALSE)</f>
        <v>0.91715196132293153</v>
      </c>
      <c r="C17">
        <f>VLOOKUP(A17,Sheet3!A:B,2,FALSE)</f>
        <v>0.95281956810971247</v>
      </c>
      <c r="D17">
        <f t="shared" si="0"/>
        <v>0.934985764716322</v>
      </c>
      <c r="E17">
        <f>D17+[1]Sheet1!$B$2</f>
        <v>0.95488576471632203</v>
      </c>
      <c r="F17">
        <f t="shared" si="1"/>
        <v>4.5114235283677973E-2</v>
      </c>
    </row>
    <row r="18" spans="1:6" x14ac:dyDescent="0.35">
      <c r="A18" t="s">
        <v>17</v>
      </c>
      <c r="B18">
        <f>VLOOKUP(A18,Sheet2!A18:B272,2,FALSE)</f>
        <v>0.90322580645161288</v>
      </c>
      <c r="C18">
        <f>VLOOKUP(A18,Sheet3!A:B,2,FALSE)</f>
        <v>0.95424836601307195</v>
      </c>
      <c r="D18">
        <f t="shared" si="0"/>
        <v>0.92873708623234241</v>
      </c>
      <c r="E18">
        <f>D18+[1]Sheet1!$B$2</f>
        <v>0.94863708623234244</v>
      </c>
      <c r="F18">
        <f t="shared" si="1"/>
        <v>5.1362913767657559E-2</v>
      </c>
    </row>
    <row r="19" spans="1:6" x14ac:dyDescent="0.35">
      <c r="A19" t="s">
        <v>18</v>
      </c>
      <c r="B19">
        <f>VLOOKUP(A19,Sheet2!A19:B273,2,FALSE)</f>
        <v>0.93645357686453579</v>
      </c>
      <c r="C19">
        <f>VLOOKUP(A19,Sheet3!A:B,2,FALSE)</f>
        <v>0.97560015741833928</v>
      </c>
      <c r="D19">
        <f t="shared" si="0"/>
        <v>0.95602686714143759</v>
      </c>
      <c r="E19">
        <f>D19+[1]Sheet1!$B$2</f>
        <v>0.97592686714143762</v>
      </c>
      <c r="F19">
        <f t="shared" si="1"/>
        <v>2.4073132858562385E-2</v>
      </c>
    </row>
    <row r="20" spans="1:6" x14ac:dyDescent="0.35">
      <c r="A20" t="s">
        <v>19</v>
      </c>
      <c r="B20">
        <f>VLOOKUP(A20,Sheet2!A20:B274,2,FALSE)</f>
        <v>0.97775283192162465</v>
      </c>
      <c r="C20">
        <f>VLOOKUP(A20,Sheet3!A:B,2,FALSE)</f>
        <v>0.99060026385224276</v>
      </c>
      <c r="D20">
        <f t="shared" si="0"/>
        <v>0.98417654788693376</v>
      </c>
      <c r="E20">
        <f>D20+[1]Sheet1!$B$2</f>
        <v>1.0040765478869338</v>
      </c>
      <c r="F20">
        <f t="shared" si="1"/>
        <v>-4.0765478869337901E-3</v>
      </c>
    </row>
    <row r="21" spans="1:6" x14ac:dyDescent="0.35">
      <c r="A21" t="s">
        <v>20</v>
      </c>
      <c r="B21">
        <f>VLOOKUP(A21,Sheet2!A21:B275,2,FALSE)</f>
        <v>0.94942528735632181</v>
      </c>
      <c r="C21">
        <f>VLOOKUP(A21,Sheet3!A:B,2,FALSE)</f>
        <v>0.95601851851851849</v>
      </c>
      <c r="D21">
        <f t="shared" si="0"/>
        <v>0.9527219029374201</v>
      </c>
      <c r="E21">
        <f>D21+[1]Sheet1!$B$2</f>
        <v>0.97262190293742012</v>
      </c>
      <c r="F21">
        <f t="shared" si="1"/>
        <v>2.7378097062579876E-2</v>
      </c>
    </row>
    <row r="22" spans="1:6" x14ac:dyDescent="0.35">
      <c r="A22" t="s">
        <v>21</v>
      </c>
      <c r="B22">
        <f>VLOOKUP(A22,Sheet2!A22:B276,2,FALSE)</f>
        <v>0.91737891737891741</v>
      </c>
      <c r="C22">
        <f>VLOOKUP(A22,Sheet3!A:B,2,FALSE)</f>
        <v>0.95886889460154245</v>
      </c>
      <c r="D22">
        <f t="shared" si="0"/>
        <v>0.93812390599022999</v>
      </c>
      <c r="E22">
        <f>D22+[1]Sheet1!$B$2</f>
        <v>0.95802390599023002</v>
      </c>
      <c r="F22">
        <f t="shared" si="1"/>
        <v>4.1976094009769982E-2</v>
      </c>
    </row>
    <row r="23" spans="1:6" x14ac:dyDescent="0.35">
      <c r="A23" t="s">
        <v>22</v>
      </c>
      <c r="B23">
        <f>VLOOKUP(A23,Sheet2!A23:B277,2,FALSE)</f>
        <v>0.95229805013927582</v>
      </c>
      <c r="C23">
        <f>VLOOKUP(A23,Sheet3!A:B,2,FALSE)</f>
        <v>0.98553207690843325</v>
      </c>
      <c r="D23">
        <f t="shared" si="0"/>
        <v>0.96891506352385459</v>
      </c>
      <c r="E23">
        <f>D23+[1]Sheet1!$B$2</f>
        <v>0.98881506352385462</v>
      </c>
      <c r="F23">
        <f t="shared" si="1"/>
        <v>1.118493647614538E-2</v>
      </c>
    </row>
    <row r="24" spans="1:6" x14ac:dyDescent="0.35">
      <c r="A24" t="s">
        <v>23</v>
      </c>
      <c r="B24">
        <f>VLOOKUP(A24,Sheet2!A24:B278,2,FALSE)</f>
        <v>0.77256317689530685</v>
      </c>
      <c r="C24">
        <f>VLOOKUP(A24,Sheet3!A:B,2,FALSE)</f>
        <v>0.84782608695652173</v>
      </c>
      <c r="D24">
        <f t="shared" si="0"/>
        <v>0.81019463192591434</v>
      </c>
      <c r="E24">
        <f>D24+[1]Sheet1!$B$2</f>
        <v>0.83009463192591437</v>
      </c>
      <c r="F24" s="16">
        <f t="shared" si="1"/>
        <v>0.16990536807408563</v>
      </c>
    </row>
    <row r="25" spans="1:6" x14ac:dyDescent="0.35">
      <c r="A25" t="s">
        <v>24</v>
      </c>
      <c r="B25">
        <f>VLOOKUP(A25,Sheet2!A25:B279,2,FALSE)</f>
        <v>0.86486486486486491</v>
      </c>
      <c r="C25">
        <f>VLOOKUP(A25,Sheet3!A:B,2,FALSE)</f>
        <v>0.97916666666666663</v>
      </c>
      <c r="D25">
        <f t="shared" si="0"/>
        <v>0.92201576576576572</v>
      </c>
      <c r="E25">
        <f>D25+[1]Sheet1!$B$2</f>
        <v>0.94191576576576574</v>
      </c>
      <c r="F25">
        <f t="shared" si="1"/>
        <v>5.8084234234234255E-2</v>
      </c>
    </row>
    <row r="26" spans="1:6" x14ac:dyDescent="0.35">
      <c r="A26" t="s">
        <v>25</v>
      </c>
      <c r="B26">
        <f>VLOOKUP(A26,Sheet2!A26:B280,2,FALSE)</f>
        <v>0.97619047619047616</v>
      </c>
      <c r="C26">
        <f>VLOOKUP(A26,Sheet3!A:B,2,FALSE)</f>
        <v>0.99546485260770978</v>
      </c>
      <c r="D26">
        <f t="shared" si="0"/>
        <v>0.98582766439909297</v>
      </c>
      <c r="E26">
        <f>D26+[1]Sheet1!$B$2</f>
        <v>1.0057276643990929</v>
      </c>
      <c r="F26">
        <f t="shared" si="1"/>
        <v>-5.727664399092891E-3</v>
      </c>
    </row>
    <row r="27" spans="1:6" x14ac:dyDescent="0.35">
      <c r="A27" t="s">
        <v>26</v>
      </c>
      <c r="B27">
        <f>VLOOKUP(A27,Sheet2!A27:B281,2,FALSE)</f>
        <v>0.97222222222222221</v>
      </c>
      <c r="C27">
        <f>VLOOKUP(A27,Sheet3!A:B,2,FALSE)</f>
        <v>1</v>
      </c>
      <c r="D27">
        <f t="shared" si="0"/>
        <v>0.98611111111111116</v>
      </c>
      <c r="E27">
        <f>D27+[1]Sheet1!$B$2</f>
        <v>1.0060111111111112</v>
      </c>
      <c r="F27">
        <f t="shared" si="1"/>
        <v>-6.0111111111111892E-3</v>
      </c>
    </row>
    <row r="28" spans="1:6" x14ac:dyDescent="0.35">
      <c r="A28" t="s">
        <v>27</v>
      </c>
      <c r="B28">
        <f>VLOOKUP(A28,Sheet2!A28:B282,2,FALSE)</f>
        <v>0.90954295216415626</v>
      </c>
      <c r="C28">
        <f>VLOOKUP(A28,Sheet3!A:B,2,FALSE)</f>
        <v>0.95574363796984985</v>
      </c>
      <c r="D28">
        <f t="shared" si="0"/>
        <v>0.93264329506700305</v>
      </c>
      <c r="E28">
        <f>D28+[1]Sheet1!$B$2</f>
        <v>0.95254329506700308</v>
      </c>
      <c r="F28">
        <f t="shared" si="1"/>
        <v>4.7456704932996918E-2</v>
      </c>
    </row>
    <row r="29" spans="1:6" x14ac:dyDescent="0.35">
      <c r="A29" t="s">
        <v>28</v>
      </c>
      <c r="B29">
        <f>VLOOKUP(A29,Sheet2!A29:B283,2,FALSE)</f>
        <v>0.92998833138856474</v>
      </c>
      <c r="C29">
        <f>VLOOKUP(A29,Sheet3!A:B,2,FALSE)</f>
        <v>0.98140043763676144</v>
      </c>
      <c r="D29">
        <f t="shared" si="0"/>
        <v>0.95569438451266309</v>
      </c>
      <c r="E29">
        <f>D29+[1]Sheet1!$B$2</f>
        <v>0.97559438451266312</v>
      </c>
      <c r="F29">
        <f t="shared" si="1"/>
        <v>2.4405615487336885E-2</v>
      </c>
    </row>
    <row r="30" spans="1:6" x14ac:dyDescent="0.35">
      <c r="A30" t="s">
        <v>29</v>
      </c>
      <c r="B30">
        <f>VLOOKUP(A30,Sheet2!A30:B284,2,FALSE)</f>
        <v>0.94626865671641791</v>
      </c>
      <c r="C30">
        <f>VLOOKUP(A30,Sheet3!A:B,2,FALSE)</f>
        <v>0.96644498186215233</v>
      </c>
      <c r="D30">
        <f t="shared" si="0"/>
        <v>0.95635681928928507</v>
      </c>
      <c r="E30">
        <f>D30+[1]Sheet1!$B$2</f>
        <v>0.97625681928928509</v>
      </c>
      <c r="F30">
        <f t="shared" si="1"/>
        <v>2.3743180710714906E-2</v>
      </c>
    </row>
    <row r="31" spans="1:6" x14ac:dyDescent="0.35">
      <c r="A31" t="s">
        <v>30</v>
      </c>
      <c r="B31">
        <f>VLOOKUP(A31,Sheet2!A31:B285,2,FALSE)</f>
        <v>0.94533762057877813</v>
      </c>
      <c r="C31">
        <f>VLOOKUP(A31,Sheet3!A:B,2,FALSE)</f>
        <v>0.9850746268656716</v>
      </c>
      <c r="D31">
        <f t="shared" si="0"/>
        <v>0.96520612372222492</v>
      </c>
      <c r="E31">
        <f>D31+[1]Sheet1!$B$2</f>
        <v>0.98510612372222495</v>
      </c>
      <c r="F31">
        <f t="shared" si="1"/>
        <v>1.4893876277775053E-2</v>
      </c>
    </row>
    <row r="32" spans="1:6" x14ac:dyDescent="0.35">
      <c r="A32" t="s">
        <v>31</v>
      </c>
      <c r="B32">
        <f>VLOOKUP(A32,Sheet2!A32:B286,2,FALSE)</f>
        <v>0.94252873563218387</v>
      </c>
      <c r="C32">
        <f>VLOOKUP(A32,Sheet3!A:B,2,FALSE)</f>
        <v>0.9756838905775076</v>
      </c>
      <c r="D32">
        <f t="shared" si="0"/>
        <v>0.95910631310484573</v>
      </c>
      <c r="E32">
        <f>D32+[1]Sheet1!$B$2</f>
        <v>0.97900631310484576</v>
      </c>
      <c r="F32">
        <f t="shared" si="1"/>
        <v>2.099368689515424E-2</v>
      </c>
    </row>
    <row r="33" spans="1:6" x14ac:dyDescent="0.35">
      <c r="A33" t="s">
        <v>32</v>
      </c>
      <c r="B33">
        <f>VLOOKUP(A33,Sheet2!A33:B287,2,FALSE)</f>
        <v>0.92546583850931674</v>
      </c>
      <c r="C33">
        <f>VLOOKUP(A33,Sheet3!A:B,2,FALSE)</f>
        <v>0.98584905660377353</v>
      </c>
      <c r="D33">
        <f t="shared" si="0"/>
        <v>0.95565744755654514</v>
      </c>
      <c r="E33">
        <f>D33+[1]Sheet1!$B$2</f>
        <v>0.97555744755654517</v>
      </c>
      <c r="F33">
        <f t="shared" si="1"/>
        <v>2.4442552443454835E-2</v>
      </c>
    </row>
    <row r="34" spans="1:6" x14ac:dyDescent="0.35">
      <c r="A34" t="s">
        <v>33</v>
      </c>
      <c r="B34">
        <f>VLOOKUP(A34,Sheet2!A34:B288,2,FALSE)</f>
        <v>0.91341077085533262</v>
      </c>
      <c r="C34">
        <f>VLOOKUP(A34,Sheet3!A:B,2,FALSE)</f>
        <v>0.97000521648408977</v>
      </c>
      <c r="D34">
        <f t="shared" si="0"/>
        <v>0.94170799366971125</v>
      </c>
      <c r="E34">
        <f>D34+[1]Sheet1!$B$2</f>
        <v>0.96160799366971128</v>
      </c>
      <c r="F34">
        <f t="shared" si="1"/>
        <v>3.8392006330288719E-2</v>
      </c>
    </row>
    <row r="35" spans="1:6" x14ac:dyDescent="0.35">
      <c r="A35" t="s">
        <v>34</v>
      </c>
      <c r="B35">
        <f>VLOOKUP(A35,Sheet2!A35:B289,2,FALSE)</f>
        <v>0.91304347826086951</v>
      </c>
      <c r="C35">
        <f>VLOOKUP(A35,Sheet3!A:B,2,FALSE)</f>
        <v>0.89393939393939392</v>
      </c>
      <c r="D35">
        <f t="shared" si="0"/>
        <v>0.90349143610013172</v>
      </c>
      <c r="E35">
        <f>D35+[1]Sheet1!$B$2</f>
        <v>0.92339143610013175</v>
      </c>
      <c r="F35">
        <f t="shared" si="1"/>
        <v>7.6608563899868254E-2</v>
      </c>
    </row>
    <row r="36" spans="1:6" x14ac:dyDescent="0.35">
      <c r="A36" t="s">
        <v>35</v>
      </c>
      <c r="B36">
        <f>VLOOKUP(A36,Sheet2!A36:B290,2,FALSE)</f>
        <v>0.92957746478873238</v>
      </c>
      <c r="C36">
        <f>VLOOKUP(A36,Sheet3!A:B,2,FALSE)</f>
        <v>0.96153846153846156</v>
      </c>
      <c r="D36">
        <f t="shared" si="0"/>
        <v>0.94555796316359697</v>
      </c>
      <c r="E36">
        <f>D36+[1]Sheet1!$B$2</f>
        <v>0.965457963163597</v>
      </c>
      <c r="F36">
        <f t="shared" si="1"/>
        <v>3.4542036836403001E-2</v>
      </c>
    </row>
    <row r="37" spans="1:6" x14ac:dyDescent="0.35">
      <c r="A37" t="s">
        <v>36</v>
      </c>
      <c r="B37">
        <f>VLOOKUP(A37,Sheet2!A37:B291,2,FALSE)</f>
        <v>0.95281815863300179</v>
      </c>
      <c r="C37">
        <f>VLOOKUP(A37,Sheet3!A:B,2,FALSE)</f>
        <v>0.97571795470464628</v>
      </c>
      <c r="D37">
        <f t="shared" si="0"/>
        <v>0.96426805666882398</v>
      </c>
      <c r="E37">
        <f>D37+[1]Sheet1!$B$2</f>
        <v>0.98416805666882401</v>
      </c>
      <c r="F37">
        <f t="shared" si="1"/>
        <v>1.5831943331175991E-2</v>
      </c>
    </row>
    <row r="38" spans="1:6" x14ac:dyDescent="0.35">
      <c r="A38" t="s">
        <v>37</v>
      </c>
      <c r="B38">
        <f>VLOOKUP(A38,Sheet2!A38:B292,2,FALSE)</f>
        <v>0.94448640483383683</v>
      </c>
      <c r="C38">
        <f>VLOOKUP(A38,Sheet3!A:B,2,FALSE)</f>
        <v>0.978939450921399</v>
      </c>
      <c r="D38">
        <f t="shared" si="0"/>
        <v>0.96171292787761797</v>
      </c>
      <c r="E38">
        <f>D38+[1]Sheet1!$B$2</f>
        <v>0.981612927877618</v>
      </c>
      <c r="F38">
        <f t="shared" si="1"/>
        <v>1.8387072122381998E-2</v>
      </c>
    </row>
    <row r="39" spans="1:6" x14ac:dyDescent="0.35">
      <c r="A39" t="s">
        <v>38</v>
      </c>
      <c r="B39">
        <f>VLOOKUP(A39,Sheet2!A39:B293,2,FALSE)</f>
        <v>0.97241379310344822</v>
      </c>
      <c r="C39">
        <f>VLOOKUP(A39,Sheet3!A:B,2,FALSE)</f>
        <v>0.98089171974522293</v>
      </c>
      <c r="D39">
        <f t="shared" si="0"/>
        <v>0.97665275642433558</v>
      </c>
      <c r="E39">
        <f>D39+[1]Sheet1!$B$2</f>
        <v>0.99655275642433561</v>
      </c>
      <c r="F39">
        <f t="shared" si="1"/>
        <v>3.4472435756643938E-3</v>
      </c>
    </row>
    <row r="40" spans="1:6" x14ac:dyDescent="0.35">
      <c r="A40" t="s">
        <v>39</v>
      </c>
      <c r="B40">
        <f>VLOOKUP(A40,Sheet2!A40:B294,2,FALSE)</f>
        <v>0.95959595959595956</v>
      </c>
      <c r="C40">
        <f>VLOOKUP(A40,Sheet3!A:B,2,FALSE)</f>
        <v>0.98703928716079381</v>
      </c>
      <c r="D40">
        <f t="shared" si="0"/>
        <v>0.97331762337837668</v>
      </c>
      <c r="E40">
        <f>D40+[1]Sheet1!$B$2</f>
        <v>0.99321762337837671</v>
      </c>
      <c r="F40">
        <f t="shared" si="1"/>
        <v>6.7823766216232872E-3</v>
      </c>
    </row>
    <row r="41" spans="1:6" x14ac:dyDescent="0.35">
      <c r="A41" t="s">
        <v>40</v>
      </c>
      <c r="B41">
        <f>VLOOKUP(A41,Sheet2!A41:B295,2,FALSE)</f>
        <v>0.92928039702233256</v>
      </c>
      <c r="C41">
        <f>VLOOKUP(A41,Sheet3!A:B,2,FALSE)</f>
        <v>0.97294250281848926</v>
      </c>
      <c r="D41">
        <f t="shared" si="0"/>
        <v>0.95111144992041097</v>
      </c>
      <c r="E41">
        <f>D41+[1]Sheet1!$B$2</f>
        <v>0.971011449920411</v>
      </c>
      <c r="F41">
        <f t="shared" si="1"/>
        <v>2.8988550079589004E-2</v>
      </c>
    </row>
    <row r="42" spans="1:6" x14ac:dyDescent="0.35">
      <c r="A42" t="s">
        <v>41</v>
      </c>
      <c r="B42">
        <f>VLOOKUP(A42,Sheet2!A42:B296,2,FALSE)</f>
        <v>0.98604651162790702</v>
      </c>
      <c r="C42">
        <f>VLOOKUP(A42,Sheet3!A:B,2,FALSE)</f>
        <v>1</v>
      </c>
      <c r="D42">
        <f t="shared" si="0"/>
        <v>0.99302325581395356</v>
      </c>
      <c r="E42">
        <f>D42+[1]Sheet1!$B$2</f>
        <v>1.0129232558139536</v>
      </c>
      <c r="F42">
        <f t="shared" si="1"/>
        <v>-1.2923255813953594E-2</v>
      </c>
    </row>
    <row r="43" spans="1:6" x14ac:dyDescent="0.35">
      <c r="A43" t="s">
        <v>42</v>
      </c>
      <c r="B43">
        <f>VLOOKUP(A43,Sheet2!A43:B297,2,FALSE)</f>
        <v>0.90909090909090906</v>
      </c>
      <c r="C43">
        <f>VLOOKUP(A43,Sheet3!A:B,2,FALSE)</f>
        <v>0.96523250760538892</v>
      </c>
      <c r="D43">
        <f t="shared" si="0"/>
        <v>0.93716170834814894</v>
      </c>
      <c r="E43">
        <f>D43+[1]Sheet1!$B$2</f>
        <v>0.95706170834814897</v>
      </c>
      <c r="F43">
        <f t="shared" si="1"/>
        <v>4.2938291651851035E-2</v>
      </c>
    </row>
    <row r="44" spans="1:6" x14ac:dyDescent="0.35">
      <c r="A44" t="s">
        <v>43</v>
      </c>
      <c r="B44">
        <f>VLOOKUP(A44,Sheet2!A44:B298,2,FALSE)</f>
        <v>0.97252747252747251</v>
      </c>
      <c r="C44">
        <f>VLOOKUP(A44,Sheet3!A:B,2,FALSE)</f>
        <v>0.98578199052132698</v>
      </c>
      <c r="D44">
        <f t="shared" si="0"/>
        <v>0.9791547315243998</v>
      </c>
      <c r="E44">
        <f>D44+[1]Sheet1!$B$2</f>
        <v>0.99905473152439983</v>
      </c>
      <c r="F44">
        <f t="shared" si="1"/>
        <v>9.4526847560016947E-4</v>
      </c>
    </row>
    <row r="45" spans="1:6" x14ac:dyDescent="0.35">
      <c r="A45" t="s">
        <v>44</v>
      </c>
      <c r="B45">
        <f>VLOOKUP(A45,Sheet2!A45:B299,2,FALSE)</f>
        <v>0.90243902439024393</v>
      </c>
      <c r="C45">
        <f>VLOOKUP(A45,Sheet3!A:B,2,FALSE)</f>
        <v>1</v>
      </c>
      <c r="D45">
        <f t="shared" si="0"/>
        <v>0.95121951219512191</v>
      </c>
      <c r="E45">
        <f>D45+[1]Sheet1!$B$2</f>
        <v>0.97111951219512194</v>
      </c>
      <c r="F45">
        <f t="shared" si="1"/>
        <v>2.8880487804878063E-2</v>
      </c>
    </row>
    <row r="46" spans="1:6" x14ac:dyDescent="0.35">
      <c r="A46" t="s">
        <v>45</v>
      </c>
      <c r="B46">
        <f>VLOOKUP(A46,Sheet2!A46:B300,2,FALSE)</f>
        <v>0.9363544813695871</v>
      </c>
      <c r="C46">
        <f>VLOOKUP(A46,Sheet3!A:B,2,FALSE)</f>
        <v>0.97550931946250541</v>
      </c>
      <c r="D46">
        <f t="shared" si="0"/>
        <v>0.95593190041604625</v>
      </c>
      <c r="E46">
        <f>D46+[1]Sheet1!$B$2</f>
        <v>0.97583190041604628</v>
      </c>
      <c r="F46">
        <f t="shared" si="1"/>
        <v>2.4168099583953717E-2</v>
      </c>
    </row>
    <row r="47" spans="1:6" x14ac:dyDescent="0.35">
      <c r="A47" t="s">
        <v>46</v>
      </c>
      <c r="B47">
        <f>VLOOKUP(A47,Sheet2!A47:B301,2,FALSE)</f>
        <v>0.93076923076923079</v>
      </c>
      <c r="C47">
        <f>VLOOKUP(A47,Sheet3!A:B,2,FALSE)</f>
        <v>0.96913580246913578</v>
      </c>
      <c r="D47">
        <f t="shared" si="0"/>
        <v>0.94995251661918334</v>
      </c>
      <c r="E47">
        <f>D47+[1]Sheet1!$B$2</f>
        <v>0.96985251661918337</v>
      </c>
      <c r="F47">
        <f t="shared" si="1"/>
        <v>3.0147483380816631E-2</v>
      </c>
    </row>
    <row r="48" spans="1:6" x14ac:dyDescent="0.35">
      <c r="A48" t="s">
        <v>47</v>
      </c>
      <c r="B48">
        <f>VLOOKUP(A48,Sheet2!A48:B302,2,FALSE)</f>
        <v>0.86702561592429439</v>
      </c>
      <c r="C48">
        <f>VLOOKUP(A48,Sheet3!A:B,2,FALSE)</f>
        <v>0.96489802551393511</v>
      </c>
      <c r="D48">
        <f t="shared" si="0"/>
        <v>0.91596182071911469</v>
      </c>
      <c r="E48">
        <f>D48+[1]Sheet1!$B$2</f>
        <v>0.93586182071911472</v>
      </c>
      <c r="F48">
        <f t="shared" si="1"/>
        <v>6.4138179280885277E-2</v>
      </c>
    </row>
    <row r="49" spans="1:6" x14ac:dyDescent="0.35">
      <c r="A49" t="s">
        <v>48</v>
      </c>
      <c r="B49">
        <f>VLOOKUP(A49,Sheet2!A49:B303,2,FALSE)</f>
        <v>0.89690721649484539</v>
      </c>
      <c r="C49">
        <f>VLOOKUP(A49,Sheet3!A:B,2,FALSE)</f>
        <v>0.96711798839458418</v>
      </c>
      <c r="D49">
        <f t="shared" si="0"/>
        <v>0.93201260244471484</v>
      </c>
      <c r="E49">
        <f>D49+[1]Sheet1!$B$2</f>
        <v>0.95191260244471487</v>
      </c>
      <c r="F49">
        <f t="shared" si="1"/>
        <v>4.8087397555285127E-2</v>
      </c>
    </row>
    <row r="50" spans="1:6" x14ac:dyDescent="0.35">
      <c r="A50" t="s">
        <v>49</v>
      </c>
      <c r="B50">
        <f>VLOOKUP(A50,Sheet2!A50:B304,2,FALSE)</f>
        <v>0.93076162215628089</v>
      </c>
      <c r="C50">
        <f>VLOOKUP(A50,Sheet3!A:B,2,FALSE)</f>
        <v>0.96256532066508316</v>
      </c>
      <c r="D50">
        <f t="shared" si="0"/>
        <v>0.94666347141068208</v>
      </c>
      <c r="E50">
        <f>D50+[1]Sheet1!$B$2</f>
        <v>0.96656347141068211</v>
      </c>
      <c r="F50">
        <f t="shared" si="1"/>
        <v>3.3436528589317893E-2</v>
      </c>
    </row>
    <row r="51" spans="1:6" x14ac:dyDescent="0.35">
      <c r="A51" t="s">
        <v>50</v>
      </c>
      <c r="B51">
        <f>VLOOKUP(A51,Sheet2!A51:B305,2,FALSE)</f>
        <v>0.94615384615384612</v>
      </c>
      <c r="C51">
        <f>VLOOKUP(A51,Sheet3!A:B,2,FALSE)</f>
        <v>1</v>
      </c>
      <c r="D51">
        <f t="shared" si="0"/>
        <v>0.97307692307692306</v>
      </c>
      <c r="E51">
        <f>D51+[1]Sheet1!$B$2</f>
        <v>0.99297692307692309</v>
      </c>
      <c r="F51">
        <f t="shared" si="1"/>
        <v>7.0230769230769097E-3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4208-8306-4608-A2DF-4E7630893FB2}">
  <dimension ref="A1:B255"/>
  <sheetViews>
    <sheetView workbookViewId="0">
      <selection sqref="A1:XFD1"/>
    </sheetView>
  </sheetViews>
  <sheetFormatPr defaultRowHeight="14.5" x14ac:dyDescent="0.35"/>
  <sheetData>
    <row r="1" spans="1:2" ht="15.5" x14ac:dyDescent="0.35">
      <c r="A1" s="12" t="s">
        <v>52</v>
      </c>
      <c r="B1" s="13">
        <v>0.9732142857142857</v>
      </c>
    </row>
    <row r="2" spans="1:2" ht="15.5" x14ac:dyDescent="0.35">
      <c r="A2" s="12" t="s">
        <v>1</v>
      </c>
      <c r="B2" s="13">
        <v>0.97846153846153849</v>
      </c>
    </row>
    <row r="3" spans="1:2" ht="15.5" x14ac:dyDescent="0.35">
      <c r="A3" s="12" t="s">
        <v>53</v>
      </c>
      <c r="B3" s="13">
        <v>0.97545008183306059</v>
      </c>
    </row>
    <row r="4" spans="1:2" ht="15.5" x14ac:dyDescent="0.35">
      <c r="A4" s="12" t="s">
        <v>54</v>
      </c>
      <c r="B4" s="13">
        <v>0.97727272727272729</v>
      </c>
    </row>
    <row r="5" spans="1:2" ht="15.5" x14ac:dyDescent="0.35">
      <c r="A5" s="12" t="s">
        <v>55</v>
      </c>
      <c r="B5" s="13">
        <v>0.98148148148148151</v>
      </c>
    </row>
    <row r="6" spans="1:2" ht="15.5" x14ac:dyDescent="0.35">
      <c r="A6" s="12" t="s">
        <v>56</v>
      </c>
      <c r="B6" s="13">
        <v>0.95238095238095233</v>
      </c>
    </row>
    <row r="7" spans="1:2" ht="15.5" x14ac:dyDescent="0.35">
      <c r="A7" s="12" t="s">
        <v>2</v>
      </c>
      <c r="B7" s="13">
        <v>0.98509687034277194</v>
      </c>
    </row>
    <row r="8" spans="1:2" ht="15.5" x14ac:dyDescent="0.35">
      <c r="A8" s="12" t="s">
        <v>57</v>
      </c>
      <c r="B8" s="13">
        <v>0.96007984031936133</v>
      </c>
    </row>
    <row r="9" spans="1:2" ht="15.5" x14ac:dyDescent="0.35">
      <c r="A9" s="12" t="s">
        <v>3</v>
      </c>
      <c r="B9" s="13">
        <v>1</v>
      </c>
    </row>
    <row r="10" spans="1:2" ht="15.5" x14ac:dyDescent="0.35">
      <c r="A10" s="12" t="s">
        <v>58</v>
      </c>
      <c r="B10" s="13">
        <v>0.97382198952879584</v>
      </c>
    </row>
    <row r="11" spans="1:2" ht="15.5" x14ac:dyDescent="0.35">
      <c r="A11" s="12" t="s">
        <v>59</v>
      </c>
      <c r="B11" s="13">
        <v>0.98007968127490042</v>
      </c>
    </row>
    <row r="12" spans="1:2" ht="15.5" x14ac:dyDescent="0.35">
      <c r="A12" s="12" t="s">
        <v>60</v>
      </c>
      <c r="B12" s="13">
        <v>0.97777777777777775</v>
      </c>
    </row>
    <row r="13" spans="1:2" ht="15.5" x14ac:dyDescent="0.35">
      <c r="A13" s="12" t="s">
        <v>61</v>
      </c>
      <c r="B13" s="13">
        <v>0.99375000000000002</v>
      </c>
    </row>
    <row r="14" spans="1:2" ht="15.5" x14ac:dyDescent="0.35">
      <c r="A14" s="12" t="s">
        <v>4</v>
      </c>
      <c r="B14" s="13">
        <v>0.97274401473296501</v>
      </c>
    </row>
    <row r="15" spans="1:2" ht="15.5" x14ac:dyDescent="0.35">
      <c r="A15" s="12" t="s">
        <v>5</v>
      </c>
      <c r="B15" s="13">
        <v>0.97716485405688236</v>
      </c>
    </row>
    <row r="16" spans="1:2" ht="15.5" x14ac:dyDescent="0.35">
      <c r="A16" s="12" t="s">
        <v>62</v>
      </c>
      <c r="B16" s="13">
        <v>0.93181818181818177</v>
      </c>
    </row>
    <row r="17" spans="1:2" ht="15.5" x14ac:dyDescent="0.35">
      <c r="A17" s="12" t="s">
        <v>6</v>
      </c>
      <c r="B17" s="13">
        <v>0.90909090909090906</v>
      </c>
    </row>
    <row r="18" spans="1:2" ht="15.5" x14ac:dyDescent="0.35">
      <c r="A18" s="12" t="s">
        <v>63</v>
      </c>
      <c r="B18" s="13">
        <v>0.98969072164948457</v>
      </c>
    </row>
    <row r="19" spans="1:2" ht="15.5" x14ac:dyDescent="0.35">
      <c r="A19" s="12" t="s">
        <v>64</v>
      </c>
      <c r="B19" s="13">
        <v>0.97769516728624539</v>
      </c>
    </row>
    <row r="20" spans="1:2" ht="15.5" x14ac:dyDescent="0.35">
      <c r="A20" s="12" t="s">
        <v>7</v>
      </c>
      <c r="B20" s="13">
        <v>0.98536840271729664</v>
      </c>
    </row>
    <row r="21" spans="1:2" ht="15.5" x14ac:dyDescent="0.35">
      <c r="A21" s="12" t="s">
        <v>65</v>
      </c>
      <c r="B21" s="13">
        <v>0.97824156305506216</v>
      </c>
    </row>
    <row r="22" spans="1:2" ht="15.5" x14ac:dyDescent="0.35">
      <c r="A22" s="12" t="s">
        <v>8</v>
      </c>
      <c r="B22" s="13">
        <v>0.91578947368421049</v>
      </c>
    </row>
    <row r="23" spans="1:2" ht="15.5" x14ac:dyDescent="0.35">
      <c r="A23" s="12" t="s">
        <v>66</v>
      </c>
      <c r="B23" s="13">
        <v>1</v>
      </c>
    </row>
    <row r="24" spans="1:2" ht="15.5" x14ac:dyDescent="0.35">
      <c r="A24" s="12" t="s">
        <v>67</v>
      </c>
      <c r="B24" s="13">
        <v>0.99115044247787609</v>
      </c>
    </row>
    <row r="25" spans="1:2" ht="15.5" x14ac:dyDescent="0.35">
      <c r="A25" s="12" t="s">
        <v>9</v>
      </c>
      <c r="B25" s="13">
        <v>0.97613882863340562</v>
      </c>
    </row>
    <row r="26" spans="1:2" ht="15.5" x14ac:dyDescent="0.35">
      <c r="A26" s="12" t="s">
        <v>68</v>
      </c>
      <c r="B26" s="13">
        <v>0.98712446351931327</v>
      </c>
    </row>
    <row r="27" spans="1:2" ht="15.5" x14ac:dyDescent="0.35">
      <c r="A27" s="12" t="s">
        <v>69</v>
      </c>
      <c r="B27" s="13">
        <v>0.96202531645569622</v>
      </c>
    </row>
    <row r="28" spans="1:2" ht="15.5" x14ac:dyDescent="0.35">
      <c r="A28" s="12" t="s">
        <v>70</v>
      </c>
      <c r="B28" s="13">
        <v>0.98399999999999999</v>
      </c>
    </row>
    <row r="29" spans="1:2" ht="15.5" x14ac:dyDescent="0.35">
      <c r="A29" s="12" t="s">
        <v>71</v>
      </c>
      <c r="B29" s="13">
        <v>1</v>
      </c>
    </row>
    <row r="30" spans="1:2" ht="15.5" x14ac:dyDescent="0.35">
      <c r="A30" s="12" t="s">
        <v>72</v>
      </c>
      <c r="B30" s="13">
        <v>0.9505494505494505</v>
      </c>
    </row>
    <row r="31" spans="1:2" ht="15.5" x14ac:dyDescent="0.35">
      <c r="A31" s="12" t="s">
        <v>73</v>
      </c>
      <c r="B31" s="13">
        <v>0.99516574585635365</v>
      </c>
    </row>
    <row r="32" spans="1:2" ht="15.5" x14ac:dyDescent="0.35">
      <c r="A32" s="12" t="s">
        <v>74</v>
      </c>
      <c r="B32" s="13">
        <v>0.99328859060402686</v>
      </c>
    </row>
    <row r="33" spans="1:2" ht="15.5" x14ac:dyDescent="0.35">
      <c r="A33" s="12" t="s">
        <v>10</v>
      </c>
      <c r="B33" s="13">
        <v>0.93243243243243246</v>
      </c>
    </row>
    <row r="34" spans="1:2" ht="15.5" x14ac:dyDescent="0.35">
      <c r="A34" s="12" t="s">
        <v>75</v>
      </c>
      <c r="B34" s="13">
        <v>0.97820823244552058</v>
      </c>
    </row>
    <row r="35" spans="1:2" ht="15.5" x14ac:dyDescent="0.35">
      <c r="A35" s="12" t="s">
        <v>76</v>
      </c>
      <c r="B35" s="13">
        <v>1</v>
      </c>
    </row>
    <row r="36" spans="1:2" ht="15.5" x14ac:dyDescent="0.35">
      <c r="A36" s="12" t="s">
        <v>77</v>
      </c>
      <c r="B36" s="13">
        <v>0.96973518284993698</v>
      </c>
    </row>
    <row r="37" spans="1:2" ht="15.5" x14ac:dyDescent="0.35">
      <c r="A37" s="12" t="s">
        <v>78</v>
      </c>
      <c r="B37" s="13">
        <v>0.99152542372881358</v>
      </c>
    </row>
    <row r="38" spans="1:2" ht="15.5" x14ac:dyDescent="0.35">
      <c r="A38" s="12" t="s">
        <v>79</v>
      </c>
      <c r="B38" s="13">
        <v>0.98701298701298701</v>
      </c>
    </row>
    <row r="39" spans="1:2" ht="15.5" x14ac:dyDescent="0.35">
      <c r="A39" s="12" t="s">
        <v>80</v>
      </c>
      <c r="B39" s="13">
        <v>0.98461538461538467</v>
      </c>
    </row>
    <row r="40" spans="1:2" ht="15.5" x14ac:dyDescent="0.35">
      <c r="A40" s="12" t="s">
        <v>11</v>
      </c>
      <c r="B40" s="13">
        <v>1</v>
      </c>
    </row>
    <row r="41" spans="1:2" ht="15.5" x14ac:dyDescent="0.35">
      <c r="A41" s="12" t="s">
        <v>81</v>
      </c>
      <c r="B41" s="13">
        <v>0.94871794871794868</v>
      </c>
    </row>
    <row r="42" spans="1:2" ht="15.5" x14ac:dyDescent="0.35">
      <c r="A42" s="12" t="s">
        <v>82</v>
      </c>
      <c r="B42" s="13">
        <v>0.97979797979797978</v>
      </c>
    </row>
    <row r="43" spans="1:2" ht="15.5" x14ac:dyDescent="0.35">
      <c r="A43" s="12" t="s">
        <v>12</v>
      </c>
      <c r="B43" s="13">
        <v>0.96646282275286355</v>
      </c>
    </row>
    <row r="44" spans="1:2" ht="15.5" x14ac:dyDescent="0.35">
      <c r="A44" s="12" t="s">
        <v>83</v>
      </c>
      <c r="B44" s="13">
        <v>0.97674418604651159</v>
      </c>
    </row>
    <row r="45" spans="1:2" ht="15.5" x14ac:dyDescent="0.35">
      <c r="A45" s="12" t="s">
        <v>84</v>
      </c>
      <c r="B45" s="13">
        <v>0.99199999999999999</v>
      </c>
    </row>
    <row r="46" spans="1:2" ht="15.5" x14ac:dyDescent="0.35">
      <c r="A46" s="12" t="s">
        <v>85</v>
      </c>
      <c r="B46" s="13">
        <v>0.96414219474497687</v>
      </c>
    </row>
    <row r="47" spans="1:2" ht="15.5" x14ac:dyDescent="0.35">
      <c r="A47" s="12" t="s">
        <v>86</v>
      </c>
      <c r="B47" s="13">
        <v>0.93548387096774188</v>
      </c>
    </row>
    <row r="48" spans="1:2" ht="15.5" x14ac:dyDescent="0.35">
      <c r="A48" s="12" t="s">
        <v>87</v>
      </c>
      <c r="B48" s="13">
        <v>0.97499999999999998</v>
      </c>
    </row>
    <row r="49" spans="1:2" ht="15.5" x14ac:dyDescent="0.35">
      <c r="A49" s="12" t="s">
        <v>88</v>
      </c>
      <c r="B49" s="13">
        <v>0.97109826589595372</v>
      </c>
    </row>
    <row r="50" spans="1:2" ht="15.5" x14ac:dyDescent="0.35">
      <c r="A50" s="12" t="s">
        <v>89</v>
      </c>
      <c r="B50" s="13">
        <v>0.98890258939580766</v>
      </c>
    </row>
    <row r="51" spans="1:2" ht="15.5" x14ac:dyDescent="0.35">
      <c r="A51" s="12" t="s">
        <v>90</v>
      </c>
      <c r="B51" s="13">
        <v>1</v>
      </c>
    </row>
    <row r="52" spans="1:2" ht="15.5" x14ac:dyDescent="0.35">
      <c r="A52" s="12" t="s">
        <v>91</v>
      </c>
      <c r="B52" s="13">
        <v>1</v>
      </c>
    </row>
    <row r="53" spans="1:2" ht="15.5" x14ac:dyDescent="0.35">
      <c r="A53" s="12" t="s">
        <v>92</v>
      </c>
      <c r="B53" s="13">
        <v>1</v>
      </c>
    </row>
    <row r="54" spans="1:2" ht="15.5" x14ac:dyDescent="0.35">
      <c r="A54" s="12" t="s">
        <v>93</v>
      </c>
      <c r="B54" s="13">
        <v>0.97014925373134331</v>
      </c>
    </row>
    <row r="55" spans="1:2" ht="15.5" x14ac:dyDescent="0.35">
      <c r="A55" s="12" t="s">
        <v>94</v>
      </c>
      <c r="B55" s="13">
        <v>1</v>
      </c>
    </row>
    <row r="56" spans="1:2" ht="15.5" x14ac:dyDescent="0.35">
      <c r="A56" s="12" t="s">
        <v>13</v>
      </c>
      <c r="B56" s="13">
        <v>0.98148148148148151</v>
      </c>
    </row>
    <row r="57" spans="1:2" ht="15.5" x14ac:dyDescent="0.35">
      <c r="A57" s="12" t="s">
        <v>14</v>
      </c>
      <c r="B57" s="13">
        <v>0.97405045395997614</v>
      </c>
    </row>
    <row r="58" spans="1:2" ht="15.5" x14ac:dyDescent="0.35">
      <c r="A58" s="12" t="s">
        <v>15</v>
      </c>
      <c r="B58" s="13">
        <v>0.9640718562874252</v>
      </c>
    </row>
    <row r="59" spans="1:2" ht="15.5" x14ac:dyDescent="0.35">
      <c r="A59" s="12" t="s">
        <v>95</v>
      </c>
      <c r="B59" s="13">
        <v>1</v>
      </c>
    </row>
    <row r="60" spans="1:2" ht="15.5" x14ac:dyDescent="0.35">
      <c r="A60" s="12" t="s">
        <v>96</v>
      </c>
      <c r="B60" s="13">
        <v>1</v>
      </c>
    </row>
    <row r="61" spans="1:2" ht="15.5" x14ac:dyDescent="0.35">
      <c r="A61" s="12" t="s">
        <v>16</v>
      </c>
      <c r="B61" s="13">
        <v>0.95281956810971247</v>
      </c>
    </row>
    <row r="62" spans="1:2" ht="15.5" x14ac:dyDescent="0.35">
      <c r="A62" s="12" t="s">
        <v>97</v>
      </c>
      <c r="B62" s="13">
        <v>0.97309417040358748</v>
      </c>
    </row>
    <row r="63" spans="1:2" ht="15.5" x14ac:dyDescent="0.35">
      <c r="A63" s="12" t="s">
        <v>98</v>
      </c>
      <c r="B63" s="13">
        <v>0.94117647058823528</v>
      </c>
    </row>
    <row r="64" spans="1:2" ht="15.5" x14ac:dyDescent="0.35">
      <c r="A64" s="12" t="s">
        <v>99</v>
      </c>
      <c r="B64" s="13">
        <v>1</v>
      </c>
    </row>
    <row r="65" spans="1:2" ht="15.5" x14ac:dyDescent="0.35">
      <c r="A65" s="12" t="s">
        <v>100</v>
      </c>
      <c r="B65" s="13">
        <v>0.90322580645161288</v>
      </c>
    </row>
    <row r="66" spans="1:2" ht="15.5" x14ac:dyDescent="0.35">
      <c r="A66" s="12" t="s">
        <v>101</v>
      </c>
      <c r="B66" s="13">
        <v>0.9887640449438202</v>
      </c>
    </row>
    <row r="67" spans="1:2" ht="15.5" x14ac:dyDescent="0.35">
      <c r="A67" s="12" t="s">
        <v>17</v>
      </c>
      <c r="B67" s="13">
        <v>0.95424836601307195</v>
      </c>
    </row>
    <row r="68" spans="1:2" ht="15.5" x14ac:dyDescent="0.35">
      <c r="A68" s="12" t="s">
        <v>18</v>
      </c>
      <c r="B68" s="13">
        <v>0.97560015741833928</v>
      </c>
    </row>
    <row r="69" spans="1:2" ht="15.5" x14ac:dyDescent="0.35">
      <c r="A69" s="12" t="s">
        <v>102</v>
      </c>
      <c r="B69" s="13">
        <v>0.95</v>
      </c>
    </row>
    <row r="70" spans="1:2" ht="15.5" x14ac:dyDescent="0.35">
      <c r="A70" s="12" t="s">
        <v>19</v>
      </c>
      <c r="B70" s="13">
        <v>0.99060026385224276</v>
      </c>
    </row>
    <row r="71" spans="1:2" ht="15.5" x14ac:dyDescent="0.35">
      <c r="A71" s="12" t="s">
        <v>103</v>
      </c>
      <c r="B71" s="13">
        <v>0.97437280820070138</v>
      </c>
    </row>
    <row r="72" spans="1:2" ht="15.5" x14ac:dyDescent="0.35">
      <c r="A72" s="12" t="s">
        <v>20</v>
      </c>
      <c r="B72" s="13">
        <v>0.95601851851851849</v>
      </c>
    </row>
    <row r="73" spans="1:2" ht="15.5" x14ac:dyDescent="0.35">
      <c r="A73" s="12" t="s">
        <v>104</v>
      </c>
      <c r="B73" s="13">
        <v>0.99453551912568305</v>
      </c>
    </row>
    <row r="74" spans="1:2" ht="15.5" x14ac:dyDescent="0.35">
      <c r="A74" s="12" t="s">
        <v>21</v>
      </c>
      <c r="B74" s="13">
        <v>0.95886889460154245</v>
      </c>
    </row>
    <row r="75" spans="1:2" ht="15.5" x14ac:dyDescent="0.35">
      <c r="A75" s="12" t="s">
        <v>105</v>
      </c>
      <c r="B75" s="13">
        <v>0.98958333333333337</v>
      </c>
    </row>
    <row r="76" spans="1:2" ht="15.5" x14ac:dyDescent="0.35">
      <c r="A76" s="12" t="s">
        <v>106</v>
      </c>
      <c r="B76" s="13">
        <v>0.97777777777777775</v>
      </c>
    </row>
    <row r="77" spans="1:2" ht="15.5" x14ac:dyDescent="0.35">
      <c r="A77" s="12" t="s">
        <v>107</v>
      </c>
      <c r="B77" s="13">
        <v>1</v>
      </c>
    </row>
    <row r="78" spans="1:2" ht="15.5" x14ac:dyDescent="0.35">
      <c r="A78" s="12" t="s">
        <v>108</v>
      </c>
      <c r="B78" s="13">
        <v>1</v>
      </c>
    </row>
    <row r="79" spans="1:2" ht="15.5" x14ac:dyDescent="0.35">
      <c r="A79" s="12" t="s">
        <v>22</v>
      </c>
      <c r="B79" s="13">
        <v>0.98553207690843325</v>
      </c>
    </row>
    <row r="80" spans="1:2" ht="15.5" x14ac:dyDescent="0.35">
      <c r="A80" s="12" t="s">
        <v>109</v>
      </c>
      <c r="B80" s="13">
        <v>0.9925373134328358</v>
      </c>
    </row>
    <row r="81" spans="1:2" ht="15.5" x14ac:dyDescent="0.35">
      <c r="A81" s="12" t="s">
        <v>110</v>
      </c>
      <c r="B81" s="13">
        <v>0.97132616487455192</v>
      </c>
    </row>
    <row r="82" spans="1:2" ht="15.5" x14ac:dyDescent="0.35">
      <c r="A82" s="12" t="s">
        <v>111</v>
      </c>
      <c r="B82" s="13">
        <v>0.99</v>
      </c>
    </row>
    <row r="83" spans="1:2" ht="15.5" x14ac:dyDescent="0.35">
      <c r="A83" s="12" t="s">
        <v>23</v>
      </c>
      <c r="B83" s="13">
        <v>0.84782608695652173</v>
      </c>
    </row>
    <row r="84" spans="1:2" ht="15.5" x14ac:dyDescent="0.35">
      <c r="A84" s="12" t="s">
        <v>112</v>
      </c>
      <c r="B84" s="13">
        <v>0.98001784121320246</v>
      </c>
    </row>
    <row r="85" spans="1:2" ht="15.5" x14ac:dyDescent="0.35">
      <c r="A85" s="12" t="s">
        <v>24</v>
      </c>
      <c r="B85" s="13">
        <v>0.97916666666666663</v>
      </c>
    </row>
    <row r="86" spans="1:2" ht="15.5" x14ac:dyDescent="0.35">
      <c r="A86" s="12" t="s">
        <v>113</v>
      </c>
      <c r="B86" s="13">
        <v>0.88823529411764701</v>
      </c>
    </row>
    <row r="87" spans="1:2" ht="15.5" x14ac:dyDescent="0.35">
      <c r="A87" s="12" t="s">
        <v>114</v>
      </c>
      <c r="B87" s="13">
        <v>1</v>
      </c>
    </row>
    <row r="88" spans="1:2" ht="15.5" x14ac:dyDescent="0.35">
      <c r="A88" s="12" t="s">
        <v>115</v>
      </c>
      <c r="B88" s="13">
        <v>1</v>
      </c>
    </row>
    <row r="89" spans="1:2" ht="15.5" x14ac:dyDescent="0.35">
      <c r="A89" s="12" t="s">
        <v>116</v>
      </c>
      <c r="B89" s="13">
        <v>0.98601398601398604</v>
      </c>
    </row>
    <row r="90" spans="1:2" ht="15.5" x14ac:dyDescent="0.35">
      <c r="A90" s="12" t="s">
        <v>117</v>
      </c>
      <c r="B90" s="13">
        <v>0.97674418604651159</v>
      </c>
    </row>
    <row r="91" spans="1:2" ht="15.5" x14ac:dyDescent="0.35">
      <c r="A91" s="12" t="s">
        <v>118</v>
      </c>
      <c r="B91" s="13">
        <v>0.96402502606882168</v>
      </c>
    </row>
    <row r="92" spans="1:2" ht="15.5" x14ac:dyDescent="0.35">
      <c r="A92" s="12" t="s">
        <v>119</v>
      </c>
      <c r="B92" s="13">
        <v>0.97403285638579751</v>
      </c>
    </row>
    <row r="93" spans="1:2" ht="15.5" x14ac:dyDescent="0.35">
      <c r="A93" s="12" t="s">
        <v>120</v>
      </c>
      <c r="B93" s="13">
        <v>0.9831460674157303</v>
      </c>
    </row>
    <row r="94" spans="1:2" ht="15.5" x14ac:dyDescent="0.35">
      <c r="A94" s="12" t="s">
        <v>121</v>
      </c>
      <c r="B94" s="13">
        <v>0.98782269849001458</v>
      </c>
    </row>
    <row r="95" spans="1:2" ht="15.5" x14ac:dyDescent="0.35">
      <c r="A95" s="12" t="s">
        <v>25</v>
      </c>
      <c r="B95" s="13">
        <v>0.99546485260770978</v>
      </c>
    </row>
    <row r="96" spans="1:2" ht="15.5" x14ac:dyDescent="0.35">
      <c r="A96" s="12" t="s">
        <v>122</v>
      </c>
      <c r="B96" s="13">
        <v>0.95238095238095233</v>
      </c>
    </row>
    <row r="97" spans="1:2" ht="15.5" x14ac:dyDescent="0.35">
      <c r="A97" s="12" t="s">
        <v>123</v>
      </c>
      <c r="B97" s="13">
        <v>0.96610169491525422</v>
      </c>
    </row>
    <row r="98" spans="1:2" ht="15.5" x14ac:dyDescent="0.35">
      <c r="A98" s="12" t="s">
        <v>124</v>
      </c>
      <c r="B98" s="13">
        <v>0.98947368421052628</v>
      </c>
    </row>
    <row r="99" spans="1:2" ht="15.5" x14ac:dyDescent="0.35">
      <c r="A99" s="12" t="s">
        <v>26</v>
      </c>
      <c r="B99" s="13">
        <v>1</v>
      </c>
    </row>
    <row r="100" spans="1:2" ht="15.5" x14ac:dyDescent="0.35">
      <c r="A100" s="12" t="s">
        <v>125</v>
      </c>
      <c r="B100" s="13">
        <v>0.9803680981595092</v>
      </c>
    </row>
    <row r="101" spans="1:2" ht="15.5" x14ac:dyDescent="0.35">
      <c r="A101" s="12" t="s">
        <v>27</v>
      </c>
      <c r="B101" s="13">
        <v>0.95574363796984985</v>
      </c>
    </row>
    <row r="102" spans="1:2" ht="15.5" x14ac:dyDescent="0.35">
      <c r="A102" s="12" t="s">
        <v>28</v>
      </c>
      <c r="B102" s="13">
        <v>0.98140043763676144</v>
      </c>
    </row>
    <row r="103" spans="1:2" ht="15.5" x14ac:dyDescent="0.35">
      <c r="A103" s="12" t="s">
        <v>126</v>
      </c>
      <c r="B103" s="13">
        <v>1</v>
      </c>
    </row>
    <row r="104" spans="1:2" ht="15.5" x14ac:dyDescent="0.35">
      <c r="A104" s="12" t="s">
        <v>127</v>
      </c>
      <c r="B104" s="13">
        <v>0.98333333333333328</v>
      </c>
    </row>
    <row r="105" spans="1:2" ht="15.5" x14ac:dyDescent="0.35">
      <c r="A105" s="12" t="s">
        <v>29</v>
      </c>
      <c r="B105" s="13">
        <v>0.96644498186215233</v>
      </c>
    </row>
    <row r="106" spans="1:2" ht="15.5" x14ac:dyDescent="0.35">
      <c r="A106" s="12" t="s">
        <v>128</v>
      </c>
      <c r="B106" s="13">
        <v>1</v>
      </c>
    </row>
    <row r="107" spans="1:2" ht="15.5" x14ac:dyDescent="0.35">
      <c r="A107" s="12" t="s">
        <v>129</v>
      </c>
      <c r="B107" s="13">
        <v>0.96977777777777774</v>
      </c>
    </row>
    <row r="108" spans="1:2" ht="15.5" x14ac:dyDescent="0.35">
      <c r="A108" s="12" t="s">
        <v>130</v>
      </c>
      <c r="B108" s="13">
        <v>0.99191928851487043</v>
      </c>
    </row>
    <row r="109" spans="1:2" ht="15.5" x14ac:dyDescent="0.35">
      <c r="A109" s="12" t="s">
        <v>131</v>
      </c>
      <c r="B109" s="13">
        <v>0.98085106382978726</v>
      </c>
    </row>
    <row r="110" spans="1:2" ht="15.5" x14ac:dyDescent="0.35">
      <c r="A110" s="12" t="s">
        <v>30</v>
      </c>
      <c r="B110" s="13">
        <v>0.9850746268656716</v>
      </c>
    </row>
    <row r="111" spans="1:2" ht="15.5" x14ac:dyDescent="0.35">
      <c r="A111" s="12" t="s">
        <v>132</v>
      </c>
      <c r="B111" s="13">
        <v>0.95685670261941447</v>
      </c>
    </row>
    <row r="112" spans="1:2" ht="15.5" x14ac:dyDescent="0.35">
      <c r="A112" s="12" t="s">
        <v>133</v>
      </c>
      <c r="B112" s="13">
        <v>0.97480620155038755</v>
      </c>
    </row>
    <row r="113" spans="1:2" ht="15.5" x14ac:dyDescent="0.35">
      <c r="A113" s="12" t="s">
        <v>134</v>
      </c>
      <c r="B113" s="13">
        <v>0.96585365853658534</v>
      </c>
    </row>
    <row r="114" spans="1:2" ht="15.5" x14ac:dyDescent="0.35">
      <c r="A114" s="12" t="s">
        <v>135</v>
      </c>
      <c r="B114" s="13">
        <v>0.99197860962566842</v>
      </c>
    </row>
    <row r="115" spans="1:2" ht="15.5" x14ac:dyDescent="0.35">
      <c r="A115" s="12" t="s">
        <v>136</v>
      </c>
      <c r="B115" s="13">
        <v>1</v>
      </c>
    </row>
    <row r="116" spans="1:2" ht="15.5" x14ac:dyDescent="0.35">
      <c r="A116" s="12" t="s">
        <v>137</v>
      </c>
      <c r="B116" s="13">
        <v>0.97301717089125106</v>
      </c>
    </row>
    <row r="117" spans="1:2" ht="15.5" x14ac:dyDescent="0.35">
      <c r="A117" s="12" t="s">
        <v>138</v>
      </c>
      <c r="B117" s="13">
        <v>0.97359735973597361</v>
      </c>
    </row>
    <row r="118" spans="1:2" ht="15.5" x14ac:dyDescent="0.35">
      <c r="A118" s="12" t="s">
        <v>139</v>
      </c>
      <c r="B118" s="13">
        <v>0.95652173913043481</v>
      </c>
    </row>
    <row r="119" spans="1:2" ht="15.5" x14ac:dyDescent="0.35">
      <c r="A119" s="12" t="s">
        <v>140</v>
      </c>
      <c r="B119" s="13">
        <v>0.9642857142857143</v>
      </c>
    </row>
    <row r="120" spans="1:2" ht="15.5" x14ac:dyDescent="0.35">
      <c r="A120" s="12" t="s">
        <v>141</v>
      </c>
      <c r="B120" s="13">
        <v>0.98367346938775513</v>
      </c>
    </row>
    <row r="121" spans="1:2" ht="15.5" x14ac:dyDescent="0.35">
      <c r="A121" s="12" t="s">
        <v>142</v>
      </c>
      <c r="B121" s="13">
        <v>0.9425837320574163</v>
      </c>
    </row>
    <row r="122" spans="1:2" ht="15.5" x14ac:dyDescent="0.35">
      <c r="A122" s="12" t="s">
        <v>143</v>
      </c>
      <c r="B122" s="13">
        <v>0.9375</v>
      </c>
    </row>
    <row r="123" spans="1:2" ht="15.5" x14ac:dyDescent="0.35">
      <c r="A123" s="12" t="s">
        <v>144</v>
      </c>
      <c r="B123" s="13">
        <v>0.97806313536650613</v>
      </c>
    </row>
    <row r="124" spans="1:2" ht="15.5" x14ac:dyDescent="0.35">
      <c r="A124" s="12" t="s">
        <v>145</v>
      </c>
      <c r="B124" s="13">
        <v>1</v>
      </c>
    </row>
    <row r="125" spans="1:2" ht="15.5" x14ac:dyDescent="0.35">
      <c r="A125" s="12" t="s">
        <v>146</v>
      </c>
      <c r="B125" s="13">
        <v>0.982421875</v>
      </c>
    </row>
    <row r="126" spans="1:2" ht="15.5" x14ac:dyDescent="0.35">
      <c r="A126" s="12" t="s">
        <v>147</v>
      </c>
      <c r="B126" s="13">
        <v>0.9736219141021305</v>
      </c>
    </row>
    <row r="127" spans="1:2" ht="15.5" x14ac:dyDescent="0.35">
      <c r="A127" s="12" t="s">
        <v>148</v>
      </c>
      <c r="B127" s="13">
        <v>0.994413407821229</v>
      </c>
    </row>
    <row r="128" spans="1:2" ht="15.5" x14ac:dyDescent="0.35">
      <c r="A128" s="12" t="s">
        <v>149</v>
      </c>
      <c r="B128" s="13">
        <v>0.98863636363636365</v>
      </c>
    </row>
    <row r="129" spans="1:2" ht="15.5" x14ac:dyDescent="0.35">
      <c r="A129" s="12" t="s">
        <v>150</v>
      </c>
      <c r="B129" s="13">
        <v>0.98530992475815116</v>
      </c>
    </row>
    <row r="130" spans="1:2" ht="15.5" x14ac:dyDescent="0.35">
      <c r="A130" s="12" t="s">
        <v>151</v>
      </c>
      <c r="B130" s="13">
        <v>0.94346617238183506</v>
      </c>
    </row>
    <row r="131" spans="1:2" ht="15.5" x14ac:dyDescent="0.35">
      <c r="A131" s="12" t="s">
        <v>152</v>
      </c>
      <c r="B131" s="13" t="s">
        <v>171</v>
      </c>
    </row>
    <row r="132" spans="1:2" ht="15.5" x14ac:dyDescent="0.35">
      <c r="A132" s="12" t="s">
        <v>153</v>
      </c>
      <c r="B132" s="13">
        <v>1</v>
      </c>
    </row>
    <row r="133" spans="1:2" ht="15.5" x14ac:dyDescent="0.35">
      <c r="A133" s="12" t="s">
        <v>154</v>
      </c>
      <c r="B133" s="13">
        <v>0.97160243407707914</v>
      </c>
    </row>
    <row r="134" spans="1:2" ht="15.5" x14ac:dyDescent="0.35">
      <c r="A134" s="12" t="s">
        <v>155</v>
      </c>
      <c r="B134" s="13">
        <v>0.9285714285714286</v>
      </c>
    </row>
    <row r="135" spans="1:2" ht="15.5" x14ac:dyDescent="0.35">
      <c r="A135" s="12" t="s">
        <v>156</v>
      </c>
      <c r="B135" s="13">
        <v>0.91666666666666663</v>
      </c>
    </row>
    <row r="136" spans="1:2" ht="15.5" x14ac:dyDescent="0.35">
      <c r="A136" s="12" t="s">
        <v>157</v>
      </c>
      <c r="B136" s="13">
        <v>1</v>
      </c>
    </row>
    <row r="137" spans="1:2" ht="15.5" x14ac:dyDescent="0.35">
      <c r="A137" s="12" t="s">
        <v>158</v>
      </c>
      <c r="B137" s="13">
        <v>0.99376947040498442</v>
      </c>
    </row>
    <row r="138" spans="1:2" ht="15.5" x14ac:dyDescent="0.35">
      <c r="A138" s="12" t="s">
        <v>159</v>
      </c>
      <c r="B138" s="13">
        <v>1</v>
      </c>
    </row>
    <row r="139" spans="1:2" ht="15.5" x14ac:dyDescent="0.35">
      <c r="A139" s="12" t="s">
        <v>160</v>
      </c>
      <c r="B139" s="13">
        <v>1</v>
      </c>
    </row>
    <row r="140" spans="1:2" ht="15.5" x14ac:dyDescent="0.35">
      <c r="A140" s="12" t="s">
        <v>31</v>
      </c>
      <c r="B140" s="13">
        <v>0.9756838905775076</v>
      </c>
    </row>
    <row r="141" spans="1:2" ht="15.5" x14ac:dyDescent="0.35">
      <c r="A141" s="12" t="s">
        <v>32</v>
      </c>
      <c r="B141" s="13">
        <v>0.98584905660377353</v>
      </c>
    </row>
    <row r="142" spans="1:2" ht="15.5" x14ac:dyDescent="0.35">
      <c r="A142" s="12" t="s">
        <v>161</v>
      </c>
      <c r="B142" s="13">
        <v>0.98293515358361772</v>
      </c>
    </row>
    <row r="143" spans="1:2" ht="15.5" x14ac:dyDescent="0.35">
      <c r="A143" s="12" t="s">
        <v>162</v>
      </c>
      <c r="B143" s="13">
        <v>0.96284829721362231</v>
      </c>
    </row>
    <row r="144" spans="1:2" ht="15.5" x14ac:dyDescent="0.35">
      <c r="A144" s="12" t="s">
        <v>163</v>
      </c>
      <c r="B144" s="13">
        <v>0.99111111111111116</v>
      </c>
    </row>
    <row r="145" spans="1:2" ht="15.5" x14ac:dyDescent="0.35">
      <c r="A145" s="12" t="s">
        <v>164</v>
      </c>
      <c r="B145" s="13">
        <v>0.96323529411764708</v>
      </c>
    </row>
    <row r="146" spans="1:2" ht="15.5" x14ac:dyDescent="0.35">
      <c r="A146" s="12" t="s">
        <v>165</v>
      </c>
      <c r="B146" s="13">
        <v>0.97824808935920049</v>
      </c>
    </row>
    <row r="147" spans="1:2" ht="15.5" x14ac:dyDescent="0.35">
      <c r="A147" s="12" t="s">
        <v>166</v>
      </c>
      <c r="B147" s="13">
        <v>0.98431372549019602</v>
      </c>
    </row>
    <row r="148" spans="1:2" ht="15.5" x14ac:dyDescent="0.35">
      <c r="A148" s="12" t="s">
        <v>167</v>
      </c>
      <c r="B148" s="13">
        <v>0.87878787878787878</v>
      </c>
    </row>
    <row r="149" spans="1:2" ht="15.5" x14ac:dyDescent="0.35">
      <c r="A149" s="12" t="s">
        <v>168</v>
      </c>
      <c r="B149" s="13">
        <v>0.94736842105263153</v>
      </c>
    </row>
    <row r="150" spans="1:2" ht="15.5" x14ac:dyDescent="0.35">
      <c r="A150" s="12" t="s">
        <v>169</v>
      </c>
      <c r="B150" s="13">
        <v>0.97709923664122134</v>
      </c>
    </row>
    <row r="151" spans="1:2" ht="15.5" x14ac:dyDescent="0.35">
      <c r="A151" s="12" t="s">
        <v>170</v>
      </c>
      <c r="B151" s="13" t="s">
        <v>171</v>
      </c>
    </row>
    <row r="152" spans="1:2" ht="15.5" x14ac:dyDescent="0.35">
      <c r="A152" s="12" t="s">
        <v>33</v>
      </c>
      <c r="B152" s="13">
        <v>0.97000521648408977</v>
      </c>
    </row>
    <row r="153" spans="1:2" ht="15.5" x14ac:dyDescent="0.35">
      <c r="A153" s="12" t="s">
        <v>34</v>
      </c>
      <c r="B153" s="13">
        <v>0.89393939393939392</v>
      </c>
    </row>
    <row r="154" spans="1:2" ht="15.5" x14ac:dyDescent="0.35">
      <c r="A154" s="12" t="s">
        <v>172</v>
      </c>
      <c r="B154" s="13">
        <v>0.98395721925133695</v>
      </c>
    </row>
    <row r="155" spans="1:2" ht="15.5" x14ac:dyDescent="0.35">
      <c r="A155" s="12" t="s">
        <v>173</v>
      </c>
      <c r="B155" s="13">
        <v>0.97647058823529409</v>
      </c>
    </row>
    <row r="156" spans="1:2" ht="15.5" x14ac:dyDescent="0.35">
      <c r="A156" s="12" t="s">
        <v>35</v>
      </c>
      <c r="B156" s="13">
        <v>0.96153846153846156</v>
      </c>
    </row>
    <row r="157" spans="1:2" ht="15.5" x14ac:dyDescent="0.35">
      <c r="A157" s="12" t="s">
        <v>174</v>
      </c>
      <c r="B157" s="13">
        <v>1</v>
      </c>
    </row>
    <row r="158" spans="1:2" ht="15.5" x14ac:dyDescent="0.35">
      <c r="A158" s="12" t="s">
        <v>175</v>
      </c>
      <c r="B158" s="13">
        <v>0.96435272045028142</v>
      </c>
    </row>
    <row r="159" spans="1:2" ht="15.5" x14ac:dyDescent="0.35">
      <c r="A159" s="12" t="s">
        <v>176</v>
      </c>
      <c r="B159" s="13">
        <v>0.99236641221374045</v>
      </c>
    </row>
    <row r="160" spans="1:2" ht="15.5" x14ac:dyDescent="0.35">
      <c r="A160" s="12" t="s">
        <v>177</v>
      </c>
      <c r="B160" s="13">
        <v>1</v>
      </c>
    </row>
    <row r="161" spans="1:2" ht="15.5" x14ac:dyDescent="0.35">
      <c r="A161" s="12" t="s">
        <v>178</v>
      </c>
      <c r="B161" s="13">
        <v>0.97571795470464628</v>
      </c>
    </row>
    <row r="162" spans="1:2" ht="15.5" x14ac:dyDescent="0.35">
      <c r="A162" s="12" t="s">
        <v>179</v>
      </c>
      <c r="B162" s="13">
        <v>0.91304347826086951</v>
      </c>
    </row>
    <row r="163" spans="1:2" ht="15.5" x14ac:dyDescent="0.35">
      <c r="A163" s="12" t="s">
        <v>180</v>
      </c>
      <c r="B163" s="13">
        <v>0.98289828982898286</v>
      </c>
    </row>
    <row r="164" spans="1:2" ht="15.5" x14ac:dyDescent="0.35">
      <c r="A164" s="12" t="s">
        <v>181</v>
      </c>
      <c r="B164" s="13">
        <v>1</v>
      </c>
    </row>
    <row r="165" spans="1:2" ht="15.5" x14ac:dyDescent="0.35">
      <c r="A165" s="12" t="s">
        <v>37</v>
      </c>
      <c r="B165" s="13">
        <v>0.978939450921399</v>
      </c>
    </row>
    <row r="166" spans="1:2" ht="15.5" x14ac:dyDescent="0.35">
      <c r="A166" s="12" t="s">
        <v>182</v>
      </c>
      <c r="B166" s="13">
        <v>0.98520710059171601</v>
      </c>
    </row>
    <row r="167" spans="1:2" ht="15.5" x14ac:dyDescent="0.35">
      <c r="A167" s="12" t="s">
        <v>183</v>
      </c>
      <c r="B167" s="13">
        <v>1</v>
      </c>
    </row>
    <row r="168" spans="1:2" ht="15.5" x14ac:dyDescent="0.35">
      <c r="A168" s="12" t="s">
        <v>184</v>
      </c>
      <c r="B168" s="13">
        <v>0.94565217391304346</v>
      </c>
    </row>
    <row r="169" spans="1:2" ht="15.5" x14ac:dyDescent="0.35">
      <c r="A169" s="12" t="s">
        <v>185</v>
      </c>
      <c r="B169" s="13">
        <v>0.96035242290748901</v>
      </c>
    </row>
    <row r="170" spans="1:2" ht="15.5" x14ac:dyDescent="0.35">
      <c r="A170" s="12" t="s">
        <v>186</v>
      </c>
      <c r="B170" s="13">
        <v>0.97499281402701921</v>
      </c>
    </row>
    <row r="171" spans="1:2" ht="15.5" x14ac:dyDescent="0.35">
      <c r="A171" s="12" t="s">
        <v>187</v>
      </c>
      <c r="B171" s="13">
        <v>0.99402985074626871</v>
      </c>
    </row>
    <row r="172" spans="1:2" ht="15.5" x14ac:dyDescent="0.35">
      <c r="A172" s="12" t="s">
        <v>188</v>
      </c>
      <c r="B172" s="13">
        <v>0.97761194029850751</v>
      </c>
    </row>
    <row r="173" spans="1:2" ht="15.5" x14ac:dyDescent="0.35">
      <c r="A173" s="12" t="s">
        <v>189</v>
      </c>
      <c r="B173" s="13">
        <v>1</v>
      </c>
    </row>
    <row r="174" spans="1:2" ht="15.5" x14ac:dyDescent="0.35">
      <c r="A174" s="12" t="s">
        <v>190</v>
      </c>
      <c r="B174" s="13">
        <v>0.98595146871008943</v>
      </c>
    </row>
    <row r="175" spans="1:2" ht="15.5" x14ac:dyDescent="0.35">
      <c r="A175" s="12" t="s">
        <v>191</v>
      </c>
      <c r="B175" s="13">
        <v>0.98541329011345213</v>
      </c>
    </row>
    <row r="176" spans="1:2" ht="15.5" x14ac:dyDescent="0.35">
      <c r="A176" s="12" t="s">
        <v>192</v>
      </c>
      <c r="B176" s="13">
        <v>0.97959183673469385</v>
      </c>
    </row>
    <row r="177" spans="1:2" ht="15.5" x14ac:dyDescent="0.35">
      <c r="A177" s="12" t="s">
        <v>193</v>
      </c>
      <c r="B177" s="13">
        <v>0.98816568047337283</v>
      </c>
    </row>
    <row r="178" spans="1:2" ht="15.5" x14ac:dyDescent="0.35">
      <c r="A178" s="12" t="s">
        <v>194</v>
      </c>
      <c r="B178" s="13">
        <v>0.98347305389221562</v>
      </c>
    </row>
    <row r="179" spans="1:2" ht="15.5" x14ac:dyDescent="0.35">
      <c r="A179" s="12" t="s">
        <v>195</v>
      </c>
      <c r="B179" s="13">
        <v>0.99259259259259258</v>
      </c>
    </row>
    <row r="180" spans="1:2" ht="15.5" x14ac:dyDescent="0.35">
      <c r="A180" s="12" t="s">
        <v>196</v>
      </c>
      <c r="B180" s="13">
        <v>0.9464285714285714</v>
      </c>
    </row>
    <row r="181" spans="1:2" ht="15.5" x14ac:dyDescent="0.35">
      <c r="A181" s="12" t="s">
        <v>197</v>
      </c>
      <c r="B181" s="13">
        <v>0.95212285456187895</v>
      </c>
    </row>
    <row r="182" spans="1:2" ht="15.5" x14ac:dyDescent="0.35">
      <c r="A182" s="12" t="s">
        <v>198</v>
      </c>
      <c r="B182" s="13">
        <v>0.95923913043478259</v>
      </c>
    </row>
    <row r="183" spans="1:2" ht="15.5" x14ac:dyDescent="0.35">
      <c r="A183" s="12" t="s">
        <v>199</v>
      </c>
      <c r="B183" s="13">
        <v>0.94736842105263153</v>
      </c>
    </row>
    <row r="184" spans="1:2" ht="15.5" x14ac:dyDescent="0.35">
      <c r="A184" s="12" t="s">
        <v>200</v>
      </c>
      <c r="B184" s="13">
        <v>0.95121951219512191</v>
      </c>
    </row>
    <row r="185" spans="1:2" ht="15.5" x14ac:dyDescent="0.35">
      <c r="A185" s="12" t="s">
        <v>38</v>
      </c>
      <c r="B185" s="13">
        <v>0.98089171974522293</v>
      </c>
    </row>
    <row r="186" spans="1:2" ht="15.5" x14ac:dyDescent="0.35">
      <c r="A186" s="12" t="s">
        <v>201</v>
      </c>
      <c r="B186" s="13">
        <v>0.94363103953147875</v>
      </c>
    </row>
    <row r="187" spans="1:2" ht="15.5" x14ac:dyDescent="0.35">
      <c r="A187" s="12" t="s">
        <v>202</v>
      </c>
      <c r="B187" s="13">
        <v>0.97660818713450293</v>
      </c>
    </row>
    <row r="188" spans="1:2" ht="15.5" x14ac:dyDescent="0.35">
      <c r="A188" s="12" t="s">
        <v>39</v>
      </c>
      <c r="B188" s="13">
        <v>0.98703928716079381</v>
      </c>
    </row>
    <row r="189" spans="1:2" ht="15.5" x14ac:dyDescent="0.35">
      <c r="A189" s="12" t="s">
        <v>203</v>
      </c>
      <c r="B189" s="13">
        <v>1</v>
      </c>
    </row>
    <row r="190" spans="1:2" ht="15.5" x14ac:dyDescent="0.35">
      <c r="A190" s="12" t="s">
        <v>204</v>
      </c>
      <c r="B190" s="13">
        <v>0.97163120567375882</v>
      </c>
    </row>
    <row r="191" spans="1:2" ht="15.5" x14ac:dyDescent="0.35">
      <c r="A191" s="12" t="s">
        <v>40</v>
      </c>
      <c r="B191" s="13">
        <v>0.97294250281848926</v>
      </c>
    </row>
    <row r="192" spans="1:2" ht="15.5" x14ac:dyDescent="0.35">
      <c r="A192" s="12" t="s">
        <v>205</v>
      </c>
      <c r="B192" s="13">
        <v>1</v>
      </c>
    </row>
    <row r="193" spans="1:2" ht="15.5" x14ac:dyDescent="0.35">
      <c r="A193" s="12" t="s">
        <v>206</v>
      </c>
      <c r="B193" s="13">
        <v>0.967741935483871</v>
      </c>
    </row>
    <row r="194" spans="1:2" ht="15.5" x14ac:dyDescent="0.35">
      <c r="A194" s="12" t="s">
        <v>207</v>
      </c>
      <c r="B194" s="13">
        <v>1</v>
      </c>
    </row>
    <row r="195" spans="1:2" ht="15.5" x14ac:dyDescent="0.35">
      <c r="A195" s="12" t="s">
        <v>41</v>
      </c>
      <c r="B195" s="13">
        <v>1</v>
      </c>
    </row>
    <row r="196" spans="1:2" ht="15.5" x14ac:dyDescent="0.35">
      <c r="A196" s="12" t="s">
        <v>208</v>
      </c>
      <c r="B196" s="13">
        <v>0.93548387096774188</v>
      </c>
    </row>
    <row r="197" spans="1:2" ht="15.5" x14ac:dyDescent="0.35">
      <c r="A197" s="12" t="s">
        <v>209</v>
      </c>
      <c r="B197" s="13">
        <v>0.92307692307692313</v>
      </c>
    </row>
    <row r="198" spans="1:2" ht="15.5" x14ac:dyDescent="0.35">
      <c r="A198" s="12" t="s">
        <v>210</v>
      </c>
      <c r="B198" s="13">
        <v>0.98113207547169812</v>
      </c>
    </row>
    <row r="199" spans="1:2" ht="15.5" x14ac:dyDescent="0.35">
      <c r="A199" s="12" t="s">
        <v>42</v>
      </c>
      <c r="B199" s="13">
        <v>0.96523250760538892</v>
      </c>
    </row>
    <row r="200" spans="1:2" ht="15.5" x14ac:dyDescent="0.35">
      <c r="A200" s="12" t="s">
        <v>211</v>
      </c>
      <c r="B200" s="13">
        <v>0.97902097902097907</v>
      </c>
    </row>
    <row r="201" spans="1:2" ht="15.5" x14ac:dyDescent="0.35">
      <c r="A201" s="12" t="s">
        <v>212</v>
      </c>
      <c r="B201" s="13">
        <v>0.97969543147208127</v>
      </c>
    </row>
    <row r="202" spans="1:2" ht="15.5" x14ac:dyDescent="0.35">
      <c r="A202" s="12" t="s">
        <v>213</v>
      </c>
      <c r="B202" s="13">
        <v>0.92307692307692313</v>
      </c>
    </row>
    <row r="203" spans="1:2" ht="15.5" x14ac:dyDescent="0.35">
      <c r="A203" s="12" t="s">
        <v>214</v>
      </c>
      <c r="B203" s="13">
        <v>0.97101449275362317</v>
      </c>
    </row>
    <row r="204" spans="1:2" ht="15.5" x14ac:dyDescent="0.35">
      <c r="A204" s="12" t="s">
        <v>215</v>
      </c>
      <c r="B204" s="13">
        <v>0.98473282442748089</v>
      </c>
    </row>
    <row r="205" spans="1:2" ht="15.5" x14ac:dyDescent="0.35">
      <c r="A205" s="12" t="s">
        <v>216</v>
      </c>
      <c r="B205" s="13">
        <v>0.98415657036346693</v>
      </c>
    </row>
    <row r="206" spans="1:2" ht="15.5" x14ac:dyDescent="0.35">
      <c r="A206" s="12" t="s">
        <v>217</v>
      </c>
      <c r="B206" s="13">
        <v>0.94666666666666666</v>
      </c>
    </row>
    <row r="207" spans="1:2" ht="15.5" x14ac:dyDescent="0.35">
      <c r="A207" s="12" t="s">
        <v>218</v>
      </c>
      <c r="B207" s="13">
        <v>0.967741935483871</v>
      </c>
    </row>
    <row r="208" spans="1:2" ht="15.5" x14ac:dyDescent="0.35">
      <c r="A208" s="12" t="s">
        <v>43</v>
      </c>
      <c r="B208" s="13">
        <v>0.98578199052132698</v>
      </c>
    </row>
    <row r="209" spans="1:2" ht="15.5" x14ac:dyDescent="0.35">
      <c r="A209" s="12" t="s">
        <v>44</v>
      </c>
      <c r="B209" s="13">
        <v>1</v>
      </c>
    </row>
    <row r="210" spans="1:2" ht="15.5" x14ac:dyDescent="0.35">
      <c r="A210" s="12" t="s">
        <v>219</v>
      </c>
      <c r="B210" s="13">
        <v>0.96987951807228912</v>
      </c>
    </row>
    <row r="211" spans="1:2" ht="15.5" x14ac:dyDescent="0.35">
      <c r="A211" s="12" t="s">
        <v>220</v>
      </c>
      <c r="B211" s="13">
        <v>0.93939393939393945</v>
      </c>
    </row>
    <row r="212" spans="1:2" ht="15.5" x14ac:dyDescent="0.35">
      <c r="A212" s="12" t="s">
        <v>221</v>
      </c>
      <c r="B212" s="13">
        <v>0.96987752399867588</v>
      </c>
    </row>
    <row r="213" spans="1:2" ht="15.5" x14ac:dyDescent="0.35">
      <c r="A213" s="12" t="s">
        <v>222</v>
      </c>
      <c r="B213" s="13">
        <v>0.95731707317073167</v>
      </c>
    </row>
    <row r="214" spans="1:2" ht="15.5" x14ac:dyDescent="0.35">
      <c r="A214" s="12" t="s">
        <v>223</v>
      </c>
      <c r="B214" s="13">
        <v>1</v>
      </c>
    </row>
    <row r="215" spans="1:2" ht="15.5" x14ac:dyDescent="0.35">
      <c r="A215" s="12" t="s">
        <v>224</v>
      </c>
      <c r="B215" s="13">
        <v>0.98888888888888893</v>
      </c>
    </row>
    <row r="216" spans="1:2" ht="15.5" x14ac:dyDescent="0.35">
      <c r="A216" s="12" t="s">
        <v>225</v>
      </c>
      <c r="B216" s="13">
        <v>1</v>
      </c>
    </row>
    <row r="217" spans="1:2" ht="15.5" x14ac:dyDescent="0.35">
      <c r="A217" s="12" t="s">
        <v>226</v>
      </c>
      <c r="B217" s="13">
        <v>1</v>
      </c>
    </row>
    <row r="218" spans="1:2" ht="15.5" x14ac:dyDescent="0.35">
      <c r="A218" s="12" t="s">
        <v>227</v>
      </c>
      <c r="B218" s="13">
        <v>0.97435897435897434</v>
      </c>
    </row>
    <row r="219" spans="1:2" ht="15.5" x14ac:dyDescent="0.35">
      <c r="A219" s="12" t="s">
        <v>228</v>
      </c>
      <c r="B219" s="13">
        <v>0.96078431372549022</v>
      </c>
    </row>
    <row r="220" spans="1:2" ht="15.5" x14ac:dyDescent="0.35">
      <c r="A220" s="12" t="s">
        <v>45</v>
      </c>
      <c r="B220" s="13">
        <v>0.97550931946250541</v>
      </c>
    </row>
    <row r="221" spans="1:2" ht="15.5" x14ac:dyDescent="0.35">
      <c r="A221" s="12" t="s">
        <v>229</v>
      </c>
      <c r="B221" s="13">
        <v>0.98190309398715703</v>
      </c>
    </row>
    <row r="222" spans="1:2" ht="15.5" x14ac:dyDescent="0.35">
      <c r="A222" s="12" t="s">
        <v>230</v>
      </c>
      <c r="B222" s="13">
        <v>1</v>
      </c>
    </row>
    <row r="223" spans="1:2" ht="15.5" x14ac:dyDescent="0.35">
      <c r="A223" s="12" t="s">
        <v>46</v>
      </c>
      <c r="B223" s="13">
        <v>0.96913580246913578</v>
      </c>
    </row>
    <row r="224" spans="1:2" ht="15.5" x14ac:dyDescent="0.35">
      <c r="A224" s="12" t="s">
        <v>231</v>
      </c>
      <c r="B224" s="13">
        <v>0.9375</v>
      </c>
    </row>
    <row r="225" spans="1:2" ht="15.5" x14ac:dyDescent="0.35">
      <c r="A225" s="12" t="s">
        <v>232</v>
      </c>
      <c r="B225" s="13">
        <v>0.98635477582845998</v>
      </c>
    </row>
    <row r="226" spans="1:2" ht="15.5" x14ac:dyDescent="0.35">
      <c r="A226" s="12" t="s">
        <v>233</v>
      </c>
      <c r="B226" s="13">
        <v>0.97104945717732205</v>
      </c>
    </row>
    <row r="227" spans="1:2" ht="15.5" x14ac:dyDescent="0.35">
      <c r="A227" s="12" t="s">
        <v>47</v>
      </c>
      <c r="B227" s="13">
        <v>0.96489802551393511</v>
      </c>
    </row>
    <row r="228" spans="1:2" ht="15.5" x14ac:dyDescent="0.35">
      <c r="A228" s="12" t="s">
        <v>234</v>
      </c>
      <c r="B228" s="13">
        <v>0.965034965034965</v>
      </c>
    </row>
    <row r="229" spans="1:2" ht="15.5" x14ac:dyDescent="0.35">
      <c r="A229" s="12" t="s">
        <v>235</v>
      </c>
      <c r="B229" s="13">
        <v>0.93650793650793651</v>
      </c>
    </row>
    <row r="230" spans="1:2" ht="15.5" x14ac:dyDescent="0.35">
      <c r="A230" s="12" t="s">
        <v>48</v>
      </c>
      <c r="B230" s="13">
        <v>0.96711798839458418</v>
      </c>
    </row>
    <row r="231" spans="1:2" ht="15.5" x14ac:dyDescent="0.35">
      <c r="A231" s="12" t="s">
        <v>236</v>
      </c>
      <c r="B231" s="13">
        <v>0.98275862068965514</v>
      </c>
    </row>
    <row r="232" spans="1:2" ht="15.5" x14ac:dyDescent="0.35">
      <c r="A232" s="12" t="s">
        <v>237</v>
      </c>
      <c r="B232" s="13">
        <v>0.99365079365079367</v>
      </c>
    </row>
    <row r="233" spans="1:2" ht="15.5" x14ac:dyDescent="0.35">
      <c r="A233" s="12" t="s">
        <v>238</v>
      </c>
      <c r="B233" s="13">
        <v>0.98739495798319332</v>
      </c>
    </row>
    <row r="234" spans="1:2" ht="15.5" x14ac:dyDescent="0.35">
      <c r="A234" s="12" t="s">
        <v>239</v>
      </c>
      <c r="B234" s="13">
        <v>0.95994993742177726</v>
      </c>
    </row>
    <row r="235" spans="1:2" ht="15.5" x14ac:dyDescent="0.35">
      <c r="A235" s="12" t="s">
        <v>240</v>
      </c>
      <c r="B235" s="13">
        <v>0.98700092850510679</v>
      </c>
    </row>
    <row r="236" spans="1:2" ht="15.5" x14ac:dyDescent="0.35">
      <c r="A236" s="12" t="s">
        <v>241</v>
      </c>
      <c r="B236" s="13">
        <v>0.97837837837837838</v>
      </c>
    </row>
    <row r="237" spans="1:2" ht="15.5" x14ac:dyDescent="0.35">
      <c r="A237" s="12" t="s">
        <v>242</v>
      </c>
      <c r="B237" s="13">
        <v>0.98583569405099147</v>
      </c>
    </row>
    <row r="238" spans="1:2" ht="15.5" x14ac:dyDescent="0.35">
      <c r="A238" s="12" t="s">
        <v>243</v>
      </c>
      <c r="B238" s="13">
        <v>0.98170731707317072</v>
      </c>
    </row>
    <row r="239" spans="1:2" ht="15.5" x14ac:dyDescent="0.35">
      <c r="A239" s="12" t="s">
        <v>244</v>
      </c>
      <c r="B239" s="13">
        <v>0.99076212471131642</v>
      </c>
    </row>
    <row r="240" spans="1:2" ht="15.5" x14ac:dyDescent="0.35">
      <c r="A240" s="12" t="s">
        <v>245</v>
      </c>
      <c r="B240" s="13">
        <v>0.99738162775474581</v>
      </c>
    </row>
    <row r="241" spans="1:2" ht="15.5" x14ac:dyDescent="0.35">
      <c r="A241" s="12" t="s">
        <v>246</v>
      </c>
      <c r="B241" s="13">
        <v>0.99820143884892087</v>
      </c>
    </row>
    <row r="242" spans="1:2" ht="15.5" x14ac:dyDescent="0.35">
      <c r="A242" s="12" t="s">
        <v>247</v>
      </c>
      <c r="B242" s="13">
        <v>0.93023255813953487</v>
      </c>
    </row>
    <row r="243" spans="1:2" ht="15.5" x14ac:dyDescent="0.35">
      <c r="A243" s="12" t="s">
        <v>248</v>
      </c>
      <c r="B243" s="13">
        <v>0.98751733703190014</v>
      </c>
    </row>
    <row r="244" spans="1:2" ht="15.5" x14ac:dyDescent="0.35">
      <c r="A244" s="12" t="s">
        <v>249</v>
      </c>
      <c r="B244" s="13">
        <v>0.98224852071005919</v>
      </c>
    </row>
    <row r="245" spans="1:2" ht="15.5" x14ac:dyDescent="0.35">
      <c r="A245" s="12" t="s">
        <v>250</v>
      </c>
      <c r="B245" s="13">
        <v>1</v>
      </c>
    </row>
    <row r="246" spans="1:2" ht="15.5" x14ac:dyDescent="0.35">
      <c r="A246" s="12" t="s">
        <v>49</v>
      </c>
      <c r="B246" s="13">
        <v>0.96256532066508316</v>
      </c>
    </row>
    <row r="247" spans="1:2" ht="15.5" x14ac:dyDescent="0.35">
      <c r="A247" s="12" t="s">
        <v>251</v>
      </c>
      <c r="B247" s="13">
        <v>0.96666666666666667</v>
      </c>
    </row>
    <row r="248" spans="1:2" ht="15.5" x14ac:dyDescent="0.35">
      <c r="A248" s="12" t="s">
        <v>252</v>
      </c>
      <c r="B248" s="13">
        <v>0.99242424242424243</v>
      </c>
    </row>
    <row r="249" spans="1:2" ht="15.5" x14ac:dyDescent="0.35">
      <c r="A249" s="12" t="s">
        <v>253</v>
      </c>
      <c r="B249" s="13">
        <v>0.93580246913580245</v>
      </c>
    </row>
    <row r="250" spans="1:2" ht="15.5" x14ac:dyDescent="0.35">
      <c r="A250" s="12" t="s">
        <v>254</v>
      </c>
      <c r="B250" s="13">
        <v>0.96680497925311204</v>
      </c>
    </row>
    <row r="251" spans="1:2" ht="15.5" x14ac:dyDescent="0.35">
      <c r="A251" s="12" t="s">
        <v>50</v>
      </c>
      <c r="B251" s="13">
        <v>1</v>
      </c>
    </row>
    <row r="252" spans="1:2" ht="15.5" x14ac:dyDescent="0.35">
      <c r="A252" s="12" t="s">
        <v>255</v>
      </c>
      <c r="B252" s="13">
        <v>0.96035242290748901</v>
      </c>
    </row>
    <row r="253" spans="1:2" ht="15.5" x14ac:dyDescent="0.35">
      <c r="A253" s="12" t="s">
        <v>256</v>
      </c>
      <c r="B253" s="13">
        <v>1</v>
      </c>
    </row>
    <row r="254" spans="1:2" ht="15.5" x14ac:dyDescent="0.35">
      <c r="A254" s="12" t="s">
        <v>257</v>
      </c>
      <c r="B254" s="13">
        <v>1</v>
      </c>
    </row>
    <row r="255" spans="1:2" ht="15.5" x14ac:dyDescent="0.35">
      <c r="A255" s="14" t="s">
        <v>258</v>
      </c>
      <c r="B255" s="15">
        <v>0.97245209798690269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7D4F-29D8-4D5F-A6E3-380AF7922E93}">
  <dimension ref="A1:B256"/>
  <sheetViews>
    <sheetView topLeftCell="A238" workbookViewId="0">
      <selection activeCell="D18" sqref="D18"/>
    </sheetView>
  </sheetViews>
  <sheetFormatPr defaultRowHeight="14.5" x14ac:dyDescent="0.35"/>
  <cols>
    <col min="2" max="2" width="11" bestFit="1" customWidth="1"/>
  </cols>
  <sheetData>
    <row r="1" spans="1:2" ht="15.5" x14ac:dyDescent="0.35">
      <c r="A1" s="2" t="s">
        <v>0</v>
      </c>
      <c r="B1" s="3" t="s">
        <v>51</v>
      </c>
    </row>
    <row r="2" spans="1:2" ht="15.5" x14ac:dyDescent="0.35">
      <c r="A2" s="4" t="s">
        <v>52</v>
      </c>
      <c r="B2" s="5">
        <v>0.94785847299813786</v>
      </c>
    </row>
    <row r="3" spans="1:2" ht="15.5" x14ac:dyDescent="0.35">
      <c r="A3" s="1" t="s">
        <v>1</v>
      </c>
      <c r="B3" s="6">
        <v>0.95470383275261328</v>
      </c>
    </row>
    <row r="4" spans="1:2" ht="15.5" x14ac:dyDescent="0.35">
      <c r="A4" s="4" t="s">
        <v>53</v>
      </c>
      <c r="B4" s="5">
        <v>0.93866171003717469</v>
      </c>
    </row>
    <row r="5" spans="1:2" ht="15.5" x14ac:dyDescent="0.35">
      <c r="A5" s="1" t="s">
        <v>54</v>
      </c>
      <c r="B5" s="6">
        <v>0.97267759562841527</v>
      </c>
    </row>
    <row r="6" spans="1:2" ht="15.5" x14ac:dyDescent="0.35">
      <c r="A6" s="4" t="s">
        <v>55</v>
      </c>
      <c r="B6" s="5">
        <v>0.94964028776978415</v>
      </c>
    </row>
    <row r="7" spans="1:2" ht="15.5" x14ac:dyDescent="0.35">
      <c r="A7" s="1" t="s">
        <v>56</v>
      </c>
      <c r="B7" s="6">
        <v>0.92307692307692313</v>
      </c>
    </row>
    <row r="8" spans="1:2" ht="15.5" x14ac:dyDescent="0.35">
      <c r="A8" s="4" t="s">
        <v>2</v>
      </c>
      <c r="B8" s="5">
        <v>0.9614197530864198</v>
      </c>
    </row>
    <row r="9" spans="1:2" ht="15.5" x14ac:dyDescent="0.35">
      <c r="A9" s="1" t="s">
        <v>57</v>
      </c>
      <c r="B9" s="6">
        <v>0.94776119402985071</v>
      </c>
    </row>
    <row r="10" spans="1:2" ht="15.5" x14ac:dyDescent="0.35">
      <c r="A10" s="4" t="s">
        <v>3</v>
      </c>
      <c r="B10" s="5">
        <v>0.96261682242990654</v>
      </c>
    </row>
    <row r="11" spans="1:2" ht="15.5" x14ac:dyDescent="0.35">
      <c r="A11" s="1" t="s">
        <v>58</v>
      </c>
      <c r="B11" s="6">
        <v>0.93478260869565222</v>
      </c>
    </row>
    <row r="12" spans="1:2" ht="15.5" x14ac:dyDescent="0.35">
      <c r="A12" s="4" t="s">
        <v>59</v>
      </c>
      <c r="B12" s="5">
        <v>0.95460992907801423</v>
      </c>
    </row>
    <row r="13" spans="1:2" ht="15.5" x14ac:dyDescent="0.35">
      <c r="A13" s="1" t="s">
        <v>60</v>
      </c>
      <c r="B13" s="6">
        <v>0.97499999999999998</v>
      </c>
    </row>
    <row r="14" spans="1:2" ht="15.5" x14ac:dyDescent="0.35">
      <c r="A14" s="4" t="s">
        <v>61</v>
      </c>
      <c r="B14" s="5">
        <v>0.9673202614379085</v>
      </c>
    </row>
    <row r="15" spans="1:2" ht="15.5" x14ac:dyDescent="0.35">
      <c r="A15" s="1" t="s">
        <v>4</v>
      </c>
      <c r="B15" s="6">
        <v>0.95126114166508624</v>
      </c>
    </row>
    <row r="16" spans="1:2" ht="15.5" x14ac:dyDescent="0.35">
      <c r="A16" s="4" t="s">
        <v>5</v>
      </c>
      <c r="B16" s="5">
        <v>0.9474507601588511</v>
      </c>
    </row>
    <row r="17" spans="1:2" ht="15.5" x14ac:dyDescent="0.35">
      <c r="A17" s="1" t="s">
        <v>62</v>
      </c>
      <c r="B17" s="6">
        <v>0.86046511627906974</v>
      </c>
    </row>
    <row r="18" spans="1:2" ht="15.5" x14ac:dyDescent="0.35">
      <c r="A18" s="4" t="s">
        <v>6</v>
      </c>
      <c r="B18" s="5">
        <v>0.88235294117647056</v>
      </c>
    </row>
    <row r="19" spans="1:2" ht="15.5" x14ac:dyDescent="0.35">
      <c r="A19" s="1" t="s">
        <v>63</v>
      </c>
      <c r="B19" s="6">
        <v>0.92972972972972978</v>
      </c>
    </row>
    <row r="20" spans="1:2" ht="15.5" x14ac:dyDescent="0.35">
      <c r="A20" s="4" t="s">
        <v>64</v>
      </c>
      <c r="B20" s="5">
        <v>0.92564745196324139</v>
      </c>
    </row>
    <row r="21" spans="1:2" ht="15.5" x14ac:dyDescent="0.35">
      <c r="A21" s="1" t="s">
        <v>7</v>
      </c>
      <c r="B21" s="6">
        <v>0.96212748344370858</v>
      </c>
    </row>
    <row r="22" spans="1:2" ht="15.5" x14ac:dyDescent="0.35">
      <c r="A22" s="4" t="s">
        <v>65</v>
      </c>
      <c r="B22" s="5">
        <v>0.97989949748743721</v>
      </c>
    </row>
    <row r="23" spans="1:2" ht="15.5" x14ac:dyDescent="0.35">
      <c r="A23" s="1" t="s">
        <v>8</v>
      </c>
      <c r="B23" s="6">
        <v>0.83950617283950613</v>
      </c>
    </row>
    <row r="24" spans="1:2" ht="15.5" x14ac:dyDescent="0.35">
      <c r="A24" s="4" t="s">
        <v>66</v>
      </c>
      <c r="B24" s="5">
        <v>1</v>
      </c>
    </row>
    <row r="25" spans="1:2" ht="15.5" x14ac:dyDescent="0.35">
      <c r="A25" s="1" t="s">
        <v>67</v>
      </c>
      <c r="B25" s="6">
        <v>1</v>
      </c>
    </row>
    <row r="26" spans="1:2" ht="15.5" x14ac:dyDescent="0.35">
      <c r="A26" s="4" t="s">
        <v>9</v>
      </c>
      <c r="B26" s="5">
        <v>0.96</v>
      </c>
    </row>
    <row r="27" spans="1:2" ht="15.5" x14ac:dyDescent="0.35">
      <c r="A27" s="1" t="s">
        <v>68</v>
      </c>
      <c r="B27" s="6">
        <v>0.96190476190476193</v>
      </c>
    </row>
    <row r="28" spans="1:2" ht="15.5" x14ac:dyDescent="0.35">
      <c r="A28" s="4" t="s">
        <v>69</v>
      </c>
      <c r="B28" s="5">
        <v>0.88100208768267219</v>
      </c>
    </row>
    <row r="29" spans="1:2" ht="15.5" x14ac:dyDescent="0.35">
      <c r="A29" s="1" t="s">
        <v>70</v>
      </c>
      <c r="B29" s="6">
        <v>0.97247706422018354</v>
      </c>
    </row>
    <row r="30" spans="1:2" ht="15.5" x14ac:dyDescent="0.35">
      <c r="A30" s="4" t="s">
        <v>71</v>
      </c>
      <c r="B30" s="5">
        <v>0.9718875502008032</v>
      </c>
    </row>
    <row r="31" spans="1:2" ht="15.5" x14ac:dyDescent="0.35">
      <c r="A31" s="1" t="s">
        <v>72</v>
      </c>
      <c r="B31" s="6">
        <v>0.91463414634146345</v>
      </c>
    </row>
    <row r="32" spans="1:2" ht="15.5" x14ac:dyDescent="0.35">
      <c r="A32" s="4" t="s">
        <v>73</v>
      </c>
      <c r="B32" s="5">
        <v>0.98166460651009479</v>
      </c>
    </row>
    <row r="33" spans="1:2" ht="15.5" x14ac:dyDescent="0.35">
      <c r="A33" s="1" t="s">
        <v>74</v>
      </c>
      <c r="B33" s="6">
        <v>0.93197278911564629</v>
      </c>
    </row>
    <row r="34" spans="1:2" ht="15.5" x14ac:dyDescent="0.35">
      <c r="A34" s="4" t="s">
        <v>10</v>
      </c>
      <c r="B34" s="5">
        <v>0.91954022988505746</v>
      </c>
    </row>
    <row r="35" spans="1:2" ht="15.5" x14ac:dyDescent="0.35">
      <c r="A35" s="1" t="s">
        <v>75</v>
      </c>
      <c r="B35" s="6">
        <v>0.95601173020527863</v>
      </c>
    </row>
    <row r="36" spans="1:2" ht="15.5" x14ac:dyDescent="0.35">
      <c r="A36" s="4" t="s">
        <v>76</v>
      </c>
      <c r="B36" s="5">
        <v>0.96330275229357798</v>
      </c>
    </row>
    <row r="37" spans="1:2" ht="15.5" x14ac:dyDescent="0.35">
      <c r="A37" s="1" t="s">
        <v>77</v>
      </c>
      <c r="B37" s="6">
        <v>0.9388004895960832</v>
      </c>
    </row>
    <row r="38" spans="1:2" ht="15.5" x14ac:dyDescent="0.35">
      <c r="A38" s="4" t="s">
        <v>78</v>
      </c>
      <c r="B38" s="5">
        <v>0.97790055248618779</v>
      </c>
    </row>
    <row r="39" spans="1:2" ht="15.5" x14ac:dyDescent="0.35">
      <c r="A39" s="1" t="s">
        <v>79</v>
      </c>
      <c r="B39" s="6">
        <v>0.84126984126984128</v>
      </c>
    </row>
    <row r="40" spans="1:2" ht="15.5" x14ac:dyDescent="0.35">
      <c r="A40" s="4" t="s">
        <v>80</v>
      </c>
      <c r="B40" s="5">
        <v>0.89189189189189189</v>
      </c>
    </row>
    <row r="41" spans="1:2" ht="15.5" x14ac:dyDescent="0.35">
      <c r="A41" s="1" t="s">
        <v>11</v>
      </c>
      <c r="B41" s="6">
        <v>0.92682926829268297</v>
      </c>
    </row>
    <row r="42" spans="1:2" ht="15.5" x14ac:dyDescent="0.35">
      <c r="A42" s="4" t="s">
        <v>81</v>
      </c>
      <c r="B42" s="5">
        <v>0.91176470588235292</v>
      </c>
    </row>
    <row r="43" spans="1:2" ht="15.5" x14ac:dyDescent="0.35">
      <c r="A43" s="1" t="s">
        <v>82</v>
      </c>
      <c r="B43" s="6">
        <v>0.94285714285714284</v>
      </c>
    </row>
    <row r="44" spans="1:2" ht="15.5" x14ac:dyDescent="0.35">
      <c r="A44" s="4" t="s">
        <v>12</v>
      </c>
      <c r="B44" s="5">
        <v>0.93042340627973363</v>
      </c>
    </row>
    <row r="45" spans="1:2" ht="15.5" x14ac:dyDescent="0.35">
      <c r="A45" s="1" t="s">
        <v>83</v>
      </c>
      <c r="B45" s="6">
        <v>0.87804878048780488</v>
      </c>
    </row>
    <row r="46" spans="1:2" ht="15.5" x14ac:dyDescent="0.35">
      <c r="A46" s="4" t="s">
        <v>84</v>
      </c>
      <c r="B46" s="5">
        <v>0.97454545454545449</v>
      </c>
    </row>
    <row r="47" spans="1:2" ht="15.5" x14ac:dyDescent="0.35">
      <c r="A47" s="1" t="s">
        <v>85</v>
      </c>
      <c r="B47" s="6">
        <v>0.91632577166232798</v>
      </c>
    </row>
    <row r="48" spans="1:2" ht="15.5" x14ac:dyDescent="0.35">
      <c r="A48" s="4" t="s">
        <v>86</v>
      </c>
      <c r="B48" s="5">
        <v>0.96951219512195119</v>
      </c>
    </row>
    <row r="49" spans="1:2" ht="15.5" x14ac:dyDescent="0.35">
      <c r="A49" s="1" t="s">
        <v>87</v>
      </c>
      <c r="B49" s="6">
        <v>1</v>
      </c>
    </row>
    <row r="50" spans="1:2" ht="15.5" x14ac:dyDescent="0.35">
      <c r="A50" s="4" t="s">
        <v>88</v>
      </c>
      <c r="B50" s="5">
        <v>0.91546391752577316</v>
      </c>
    </row>
    <row r="51" spans="1:2" ht="15.5" x14ac:dyDescent="0.35">
      <c r="A51" s="1" t="s">
        <v>89</v>
      </c>
      <c r="B51" s="6">
        <v>0.94296577946768056</v>
      </c>
    </row>
    <row r="52" spans="1:2" ht="15.5" x14ac:dyDescent="0.35">
      <c r="A52" s="4" t="s">
        <v>90</v>
      </c>
      <c r="B52" s="5">
        <v>1</v>
      </c>
    </row>
    <row r="53" spans="1:2" ht="15.5" x14ac:dyDescent="0.35">
      <c r="A53" s="1" t="s">
        <v>91</v>
      </c>
      <c r="B53" s="6">
        <v>0.97674418604651159</v>
      </c>
    </row>
    <row r="54" spans="1:2" ht="15.5" x14ac:dyDescent="0.35">
      <c r="A54" s="4" t="s">
        <v>92</v>
      </c>
      <c r="B54" s="5">
        <v>1</v>
      </c>
    </row>
    <row r="55" spans="1:2" ht="15.5" x14ac:dyDescent="0.35">
      <c r="A55" s="1" t="s">
        <v>93</v>
      </c>
      <c r="B55" s="6">
        <v>0.95833333333333337</v>
      </c>
    </row>
    <row r="56" spans="1:2" ht="15.5" x14ac:dyDescent="0.35">
      <c r="A56" s="4" t="s">
        <v>94</v>
      </c>
      <c r="B56" s="5">
        <v>1</v>
      </c>
    </row>
    <row r="57" spans="1:2" ht="15.5" x14ac:dyDescent="0.35">
      <c r="A57" s="1" t="s">
        <v>13</v>
      </c>
      <c r="B57" s="6">
        <v>0.96590909090909094</v>
      </c>
    </row>
    <row r="58" spans="1:2" ht="15.5" x14ac:dyDescent="0.35">
      <c r="A58" s="4" t="s">
        <v>14</v>
      </c>
      <c r="B58" s="5">
        <v>0.90148043127040123</v>
      </c>
    </row>
    <row r="59" spans="1:2" ht="15.5" x14ac:dyDescent="0.35">
      <c r="A59" s="1" t="s">
        <v>15</v>
      </c>
      <c r="B59" s="6">
        <v>0.875</v>
      </c>
    </row>
    <row r="60" spans="1:2" ht="15.5" x14ac:dyDescent="0.35">
      <c r="A60" s="4" t="s">
        <v>95</v>
      </c>
      <c r="B60" s="5">
        <v>0.99333333333333329</v>
      </c>
    </row>
    <row r="61" spans="1:2" ht="15.5" x14ac:dyDescent="0.35">
      <c r="A61" s="1" t="s">
        <v>96</v>
      </c>
      <c r="B61" s="6">
        <v>0.94285714285714284</v>
      </c>
    </row>
    <row r="62" spans="1:2" ht="15.5" x14ac:dyDescent="0.35">
      <c r="A62" s="4" t="s">
        <v>16</v>
      </c>
      <c r="B62" s="5">
        <v>0.91715196132293153</v>
      </c>
    </row>
    <row r="63" spans="1:2" ht="15.5" x14ac:dyDescent="0.35">
      <c r="A63" s="1" t="s">
        <v>97</v>
      </c>
      <c r="B63" s="6">
        <v>0.95187165775401072</v>
      </c>
    </row>
    <row r="64" spans="1:2" ht="15.5" x14ac:dyDescent="0.35">
      <c r="A64" s="4" t="s">
        <v>98</v>
      </c>
      <c r="B64" s="5">
        <v>0.88888888888888884</v>
      </c>
    </row>
    <row r="65" spans="1:2" ht="15.5" x14ac:dyDescent="0.35">
      <c r="A65" s="1" t="s">
        <v>99</v>
      </c>
      <c r="B65" s="6">
        <v>0.99199999999999999</v>
      </c>
    </row>
    <row r="66" spans="1:2" ht="15.5" x14ac:dyDescent="0.35">
      <c r="A66" s="4" t="s">
        <v>100</v>
      </c>
      <c r="B66" s="5">
        <v>0.90909090909090906</v>
      </c>
    </row>
    <row r="67" spans="1:2" ht="15.5" x14ac:dyDescent="0.35">
      <c r="A67" s="1" t="s">
        <v>101</v>
      </c>
      <c r="B67" s="6">
        <v>0.967741935483871</v>
      </c>
    </row>
    <row r="68" spans="1:2" ht="15.5" x14ac:dyDescent="0.35">
      <c r="A68" s="4" t="s">
        <v>17</v>
      </c>
      <c r="B68" s="5">
        <v>0.90322580645161288</v>
      </c>
    </row>
    <row r="69" spans="1:2" ht="15.5" x14ac:dyDescent="0.35">
      <c r="A69" s="1" t="s">
        <v>18</v>
      </c>
      <c r="B69" s="6">
        <v>0.93645357686453579</v>
      </c>
    </row>
    <row r="70" spans="1:2" ht="15.5" x14ac:dyDescent="0.35">
      <c r="A70" s="4" t="s">
        <v>102</v>
      </c>
      <c r="B70" s="5">
        <v>0.93333333333333335</v>
      </c>
    </row>
    <row r="71" spans="1:2" ht="15.5" x14ac:dyDescent="0.35">
      <c r="A71" s="1" t="s">
        <v>19</v>
      </c>
      <c r="B71" s="6">
        <v>0.97775283192162465</v>
      </c>
    </row>
    <row r="72" spans="1:2" ht="15.5" x14ac:dyDescent="0.35">
      <c r="A72" s="4" t="s">
        <v>103</v>
      </c>
      <c r="B72" s="5">
        <v>0.93026191227516564</v>
      </c>
    </row>
    <row r="73" spans="1:2" ht="15.5" x14ac:dyDescent="0.35">
      <c r="A73" s="1" t="s">
        <v>20</v>
      </c>
      <c r="B73" s="6">
        <v>0.94942528735632181</v>
      </c>
    </row>
    <row r="74" spans="1:2" ht="15.5" x14ac:dyDescent="0.35">
      <c r="A74" s="4" t="s">
        <v>104</v>
      </c>
      <c r="B74" s="5">
        <v>0.9550561797752809</v>
      </c>
    </row>
    <row r="75" spans="1:2" ht="15.5" x14ac:dyDescent="0.35">
      <c r="A75" s="1" t="s">
        <v>21</v>
      </c>
      <c r="B75" s="6">
        <v>0.91737891737891741</v>
      </c>
    </row>
    <row r="76" spans="1:2" ht="15.5" x14ac:dyDescent="0.35">
      <c r="A76" s="4" t="s">
        <v>105</v>
      </c>
      <c r="B76" s="5">
        <v>0.95780590717299574</v>
      </c>
    </row>
    <row r="77" spans="1:2" ht="15.5" x14ac:dyDescent="0.35">
      <c r="A77" s="1" t="s">
        <v>106</v>
      </c>
      <c r="B77" s="6">
        <v>0.92682926829268297</v>
      </c>
    </row>
    <row r="78" spans="1:2" ht="15.5" x14ac:dyDescent="0.35">
      <c r="A78" s="4" t="s">
        <v>107</v>
      </c>
      <c r="B78" s="5">
        <v>0.96875</v>
      </c>
    </row>
    <row r="79" spans="1:2" ht="15.5" x14ac:dyDescent="0.35">
      <c r="A79" s="1" t="s">
        <v>108</v>
      </c>
      <c r="B79" s="6">
        <v>1</v>
      </c>
    </row>
    <row r="80" spans="1:2" ht="15.5" x14ac:dyDescent="0.35">
      <c r="A80" s="4" t="s">
        <v>22</v>
      </c>
      <c r="B80" s="5">
        <v>0.95229805013927582</v>
      </c>
    </row>
    <row r="81" spans="1:2" ht="15.5" x14ac:dyDescent="0.35">
      <c r="A81" s="1" t="s">
        <v>109</v>
      </c>
      <c r="B81" s="6">
        <v>0.94067796610169496</v>
      </c>
    </row>
    <row r="82" spans="1:2" ht="15.5" x14ac:dyDescent="0.35">
      <c r="A82" s="4" t="s">
        <v>110</v>
      </c>
      <c r="B82" s="5">
        <v>0.9464285714285714</v>
      </c>
    </row>
    <row r="83" spans="1:2" ht="15.5" x14ac:dyDescent="0.35">
      <c r="A83" s="1" t="s">
        <v>111</v>
      </c>
      <c r="B83" s="6">
        <v>0.98333333333333328</v>
      </c>
    </row>
    <row r="84" spans="1:2" ht="15.5" x14ac:dyDescent="0.35">
      <c r="A84" s="4" t="s">
        <v>23</v>
      </c>
      <c r="B84" s="5">
        <v>0.77256317689530685</v>
      </c>
    </row>
    <row r="85" spans="1:2" ht="15.5" x14ac:dyDescent="0.35">
      <c r="A85" s="1" t="s">
        <v>112</v>
      </c>
      <c r="B85" s="6">
        <v>0.9400709960325746</v>
      </c>
    </row>
    <row r="86" spans="1:2" ht="15.5" x14ac:dyDescent="0.35">
      <c r="A86" s="4" t="s">
        <v>24</v>
      </c>
      <c r="B86" s="5">
        <v>0.86486486486486491</v>
      </c>
    </row>
    <row r="87" spans="1:2" ht="15.5" x14ac:dyDescent="0.35">
      <c r="A87" s="1" t="s">
        <v>113</v>
      </c>
      <c r="B87" s="6">
        <v>0.91176470588235292</v>
      </c>
    </row>
    <row r="88" spans="1:2" ht="15.5" x14ac:dyDescent="0.35">
      <c r="A88" s="4" t="s">
        <v>114</v>
      </c>
      <c r="B88" s="5">
        <v>1</v>
      </c>
    </row>
    <row r="89" spans="1:2" ht="15.5" x14ac:dyDescent="0.35">
      <c r="A89" s="1" t="s">
        <v>115</v>
      </c>
      <c r="B89" s="6">
        <v>0.96721311475409832</v>
      </c>
    </row>
    <row r="90" spans="1:2" ht="15.5" x14ac:dyDescent="0.35">
      <c r="A90" s="4" t="s">
        <v>116</v>
      </c>
      <c r="B90" s="5">
        <v>0.97520661157024791</v>
      </c>
    </row>
    <row r="91" spans="1:2" ht="15.5" x14ac:dyDescent="0.35">
      <c r="A91" s="1" t="s">
        <v>117</v>
      </c>
      <c r="B91" s="6">
        <v>0.97169811320754718</v>
      </c>
    </row>
    <row r="92" spans="1:2" ht="15.5" x14ac:dyDescent="0.35">
      <c r="A92" s="4" t="s">
        <v>118</v>
      </c>
      <c r="B92" s="5">
        <v>0.93101449275362314</v>
      </c>
    </row>
    <row r="93" spans="1:2" ht="15.5" x14ac:dyDescent="0.35">
      <c r="A93" s="1" t="s">
        <v>119</v>
      </c>
      <c r="B93" s="6">
        <v>0.95265926358854469</v>
      </c>
    </row>
    <row r="94" spans="1:2" ht="15.5" x14ac:dyDescent="0.35">
      <c r="A94" s="4" t="s">
        <v>120</v>
      </c>
      <c r="B94" s="5">
        <v>0.93333333333333335</v>
      </c>
    </row>
    <row r="95" spans="1:2" ht="15.5" x14ac:dyDescent="0.35">
      <c r="A95" s="1" t="s">
        <v>121</v>
      </c>
      <c r="B95" s="6">
        <v>0.95903165735567975</v>
      </c>
    </row>
    <row r="96" spans="1:2" ht="15.5" x14ac:dyDescent="0.35">
      <c r="A96" s="4" t="s">
        <v>25</v>
      </c>
      <c r="B96" s="5">
        <v>0.97619047619047616</v>
      </c>
    </row>
    <row r="97" spans="1:2" ht="15.5" x14ac:dyDescent="0.35">
      <c r="A97" s="1" t="s">
        <v>122</v>
      </c>
      <c r="B97" s="6">
        <v>0.77777777777777779</v>
      </c>
    </row>
    <row r="98" spans="1:2" ht="15.5" x14ac:dyDescent="0.35">
      <c r="A98" s="4" t="s">
        <v>123</v>
      </c>
      <c r="B98" s="5">
        <v>0.89583333333333337</v>
      </c>
    </row>
    <row r="99" spans="1:2" ht="15.5" x14ac:dyDescent="0.35">
      <c r="A99" s="1" t="s">
        <v>124</v>
      </c>
      <c r="B99" s="6">
        <v>0.96341463414634143</v>
      </c>
    </row>
    <row r="100" spans="1:2" ht="15.5" x14ac:dyDescent="0.35">
      <c r="A100" s="4" t="s">
        <v>26</v>
      </c>
      <c r="B100" s="5">
        <v>0.97222222222222221</v>
      </c>
    </row>
    <row r="101" spans="1:2" ht="15.5" x14ac:dyDescent="0.35">
      <c r="A101" s="1" t="s">
        <v>125</v>
      </c>
      <c r="B101" s="6">
        <v>0.918546365914787</v>
      </c>
    </row>
    <row r="102" spans="1:2" ht="15.5" x14ac:dyDescent="0.35">
      <c r="A102" s="4" t="s">
        <v>27</v>
      </c>
      <c r="B102" s="5">
        <v>0.90954295216415626</v>
      </c>
    </row>
    <row r="103" spans="1:2" ht="15.5" x14ac:dyDescent="0.35">
      <c r="A103" s="1" t="s">
        <v>28</v>
      </c>
      <c r="B103" s="6">
        <v>0.92998833138856474</v>
      </c>
    </row>
    <row r="104" spans="1:2" ht="15.5" x14ac:dyDescent="0.35">
      <c r="A104" s="4" t="s">
        <v>126</v>
      </c>
      <c r="B104" s="5">
        <v>0.76666666666666672</v>
      </c>
    </row>
    <row r="105" spans="1:2" ht="15.5" x14ac:dyDescent="0.35">
      <c r="A105" s="1" t="s">
        <v>127</v>
      </c>
      <c r="B105" s="6">
        <v>0.9375</v>
      </c>
    </row>
    <row r="106" spans="1:2" ht="15.5" x14ac:dyDescent="0.35">
      <c r="A106" s="4" t="s">
        <v>29</v>
      </c>
      <c r="B106" s="5">
        <v>0.94626865671641791</v>
      </c>
    </row>
    <row r="107" spans="1:2" ht="15.5" x14ac:dyDescent="0.35">
      <c r="A107" s="1" t="s">
        <v>128</v>
      </c>
      <c r="B107" s="6">
        <v>0.95833333333333337</v>
      </c>
    </row>
    <row r="108" spans="1:2" ht="15.5" x14ac:dyDescent="0.35">
      <c r="A108" s="4" t="s">
        <v>129</v>
      </c>
      <c r="B108" s="5">
        <v>0.92767598842815813</v>
      </c>
    </row>
    <row r="109" spans="1:2" ht="15.5" x14ac:dyDescent="0.35">
      <c r="A109" s="1" t="s">
        <v>130</v>
      </c>
      <c r="B109" s="6">
        <v>0.968848276271287</v>
      </c>
    </row>
    <row r="110" spans="1:2" ht="15.5" x14ac:dyDescent="0.35">
      <c r="A110" s="4" t="s">
        <v>131</v>
      </c>
      <c r="B110" s="5">
        <v>0.8928571428571429</v>
      </c>
    </row>
    <row r="111" spans="1:2" ht="15.5" x14ac:dyDescent="0.35">
      <c r="A111" s="1" t="s">
        <v>30</v>
      </c>
      <c r="B111" s="6">
        <v>0.94533762057877813</v>
      </c>
    </row>
    <row r="112" spans="1:2" ht="15.5" x14ac:dyDescent="0.35">
      <c r="A112" s="4" t="s">
        <v>132</v>
      </c>
      <c r="B112" s="5">
        <v>0.9140625</v>
      </c>
    </row>
    <row r="113" spans="1:2" ht="15.5" x14ac:dyDescent="0.35">
      <c r="A113" s="1" t="s">
        <v>133</v>
      </c>
      <c r="B113" s="6">
        <v>0.96767241379310343</v>
      </c>
    </row>
    <row r="114" spans="1:2" ht="15.5" x14ac:dyDescent="0.35">
      <c r="A114" s="4" t="s">
        <v>134</v>
      </c>
      <c r="B114" s="5">
        <v>0.92385786802030456</v>
      </c>
    </row>
    <row r="115" spans="1:2" ht="15.5" x14ac:dyDescent="0.35">
      <c r="A115" s="1" t="s">
        <v>135</v>
      </c>
      <c r="B115" s="6">
        <v>0.95396419437340152</v>
      </c>
    </row>
    <row r="116" spans="1:2" ht="15.5" x14ac:dyDescent="0.35">
      <c r="A116" s="4" t="s">
        <v>136</v>
      </c>
      <c r="B116" s="5">
        <v>0.9375</v>
      </c>
    </row>
    <row r="117" spans="1:2" ht="15.5" x14ac:dyDescent="0.35">
      <c r="A117" s="1" t="s">
        <v>137</v>
      </c>
      <c r="B117" s="6">
        <v>0.93413654618473896</v>
      </c>
    </row>
    <row r="118" spans="1:2" ht="15.5" x14ac:dyDescent="0.35">
      <c r="A118" s="4" t="s">
        <v>138</v>
      </c>
      <c r="B118" s="5">
        <v>0.95238095238095233</v>
      </c>
    </row>
    <row r="119" spans="1:2" ht="15.5" x14ac:dyDescent="0.35">
      <c r="A119" s="1" t="s">
        <v>139</v>
      </c>
      <c r="B119" s="6">
        <v>0.65217391304347827</v>
      </c>
    </row>
    <row r="120" spans="1:2" ht="15.5" x14ac:dyDescent="0.35">
      <c r="A120" s="4" t="s">
        <v>140</v>
      </c>
      <c r="B120" s="5">
        <v>0.83529411764705885</v>
      </c>
    </row>
    <row r="121" spans="1:2" ht="15.5" x14ac:dyDescent="0.35">
      <c r="A121" s="1" t="s">
        <v>141</v>
      </c>
      <c r="B121" s="6">
        <v>0.953307392996109</v>
      </c>
    </row>
    <row r="122" spans="1:2" ht="15.5" x14ac:dyDescent="0.35">
      <c r="A122" s="4" t="s">
        <v>142</v>
      </c>
      <c r="B122" s="5">
        <v>0.90591397849462363</v>
      </c>
    </row>
    <row r="123" spans="1:2" ht="15.5" x14ac:dyDescent="0.35">
      <c r="A123" s="1" t="s">
        <v>143</v>
      </c>
      <c r="B123" s="6">
        <v>0.875</v>
      </c>
    </row>
    <row r="124" spans="1:2" ht="15.5" x14ac:dyDescent="0.35">
      <c r="A124" s="4" t="s">
        <v>144</v>
      </c>
      <c r="B124" s="5">
        <v>0.95067024128686328</v>
      </c>
    </row>
    <row r="125" spans="1:2" ht="15.5" x14ac:dyDescent="0.35">
      <c r="A125" s="1" t="s">
        <v>145</v>
      </c>
      <c r="B125" s="6">
        <v>0.94339622641509435</v>
      </c>
    </row>
    <row r="126" spans="1:2" ht="15.5" x14ac:dyDescent="0.35">
      <c r="A126" s="4" t="s">
        <v>146</v>
      </c>
      <c r="B126" s="5">
        <v>0.96855345911949686</v>
      </c>
    </row>
    <row r="127" spans="1:2" ht="15.5" x14ac:dyDescent="0.35">
      <c r="A127" s="1" t="s">
        <v>147</v>
      </c>
      <c r="B127" s="6">
        <v>0.92774674115456235</v>
      </c>
    </row>
    <row r="128" spans="1:2" ht="15.5" x14ac:dyDescent="0.35">
      <c r="A128" s="4" t="s">
        <v>148</v>
      </c>
      <c r="B128" s="5">
        <v>0.96610169491525422</v>
      </c>
    </row>
    <row r="129" spans="1:2" ht="15.5" x14ac:dyDescent="0.35">
      <c r="A129" s="1" t="s">
        <v>149</v>
      </c>
      <c r="B129" s="6">
        <v>0.98136645962732916</v>
      </c>
    </row>
    <row r="130" spans="1:2" ht="15.5" x14ac:dyDescent="0.35">
      <c r="A130" s="4" t="s">
        <v>150</v>
      </c>
      <c r="B130" s="5">
        <v>0.94403705133153226</v>
      </c>
    </row>
    <row r="131" spans="1:2" ht="15.5" x14ac:dyDescent="0.35">
      <c r="A131" s="1" t="s">
        <v>151</v>
      </c>
      <c r="B131" s="6">
        <v>0.91223733003708285</v>
      </c>
    </row>
    <row r="132" spans="1:2" ht="15.5" x14ac:dyDescent="0.35">
      <c r="A132" s="4" t="s">
        <v>152</v>
      </c>
      <c r="B132" s="5">
        <v>0.92307692307692313</v>
      </c>
    </row>
    <row r="133" spans="1:2" ht="15.5" x14ac:dyDescent="0.35">
      <c r="A133" s="1" t="s">
        <v>153</v>
      </c>
      <c r="B133" s="6">
        <v>1</v>
      </c>
    </row>
    <row r="134" spans="1:2" ht="15.5" x14ac:dyDescent="0.35">
      <c r="A134" s="4" t="s">
        <v>154</v>
      </c>
      <c r="B134" s="5">
        <v>0.92903225806451617</v>
      </c>
    </row>
    <row r="135" spans="1:2" ht="15.5" x14ac:dyDescent="0.35">
      <c r="A135" s="1" t="s">
        <v>155</v>
      </c>
      <c r="B135" s="6">
        <v>0.93023255813953487</v>
      </c>
    </row>
    <row r="136" spans="1:2" ht="15.5" x14ac:dyDescent="0.35">
      <c r="A136" s="4" t="s">
        <v>156</v>
      </c>
      <c r="B136" s="5">
        <v>1</v>
      </c>
    </row>
    <row r="137" spans="1:2" ht="15.5" x14ac:dyDescent="0.35">
      <c r="A137" s="1" t="s">
        <v>157</v>
      </c>
      <c r="B137" s="6">
        <v>0.90625</v>
      </c>
    </row>
    <row r="138" spans="1:2" ht="15.5" x14ac:dyDescent="0.35">
      <c r="A138" s="4" t="s">
        <v>158</v>
      </c>
      <c r="B138" s="5">
        <v>0.96153846153846156</v>
      </c>
    </row>
    <row r="139" spans="1:2" ht="15.5" x14ac:dyDescent="0.35">
      <c r="A139" s="1" t="s">
        <v>159</v>
      </c>
      <c r="B139" s="6">
        <v>0.92</v>
      </c>
    </row>
    <row r="140" spans="1:2" ht="15.5" x14ac:dyDescent="0.35">
      <c r="A140" s="4" t="s">
        <v>160</v>
      </c>
      <c r="B140" s="5">
        <v>0.97101449275362317</v>
      </c>
    </row>
    <row r="141" spans="1:2" ht="15.5" x14ac:dyDescent="0.35">
      <c r="A141" s="1" t="s">
        <v>31</v>
      </c>
      <c r="B141" s="6">
        <v>0.94252873563218387</v>
      </c>
    </row>
    <row r="142" spans="1:2" ht="15.5" x14ac:dyDescent="0.35">
      <c r="A142" s="4" t="s">
        <v>32</v>
      </c>
      <c r="B142" s="5">
        <v>0.92546583850931674</v>
      </c>
    </row>
    <row r="143" spans="1:2" ht="15.5" x14ac:dyDescent="0.35">
      <c r="A143" s="1" t="s">
        <v>161</v>
      </c>
      <c r="B143" s="6">
        <v>0.95617529880478092</v>
      </c>
    </row>
    <row r="144" spans="1:2" ht="15.5" x14ac:dyDescent="0.35">
      <c r="A144" s="4" t="s">
        <v>162</v>
      </c>
      <c r="B144" s="5">
        <v>0.95389048991354464</v>
      </c>
    </row>
    <row r="145" spans="1:2" ht="15.5" x14ac:dyDescent="0.35">
      <c r="A145" s="1" t="s">
        <v>163</v>
      </c>
      <c r="B145" s="6">
        <v>0.9468599033816425</v>
      </c>
    </row>
    <row r="146" spans="1:2" ht="15.5" x14ac:dyDescent="0.35">
      <c r="A146" s="4" t="s">
        <v>164</v>
      </c>
      <c r="B146" s="5">
        <v>0.95192307692307687</v>
      </c>
    </row>
    <row r="147" spans="1:2" ht="15.5" x14ac:dyDescent="0.35">
      <c r="A147" s="1" t="s">
        <v>165</v>
      </c>
      <c r="B147" s="6">
        <v>0.96611177170035667</v>
      </c>
    </row>
    <row r="148" spans="1:2" ht="15.5" x14ac:dyDescent="0.35">
      <c r="A148" s="4" t="s">
        <v>166</v>
      </c>
      <c r="B148" s="5">
        <v>0.92156862745098034</v>
      </c>
    </row>
    <row r="149" spans="1:2" ht="15.5" x14ac:dyDescent="0.35">
      <c r="A149" s="1" t="s">
        <v>167</v>
      </c>
      <c r="B149" s="6">
        <v>0.72093023255813948</v>
      </c>
    </row>
    <row r="150" spans="1:2" ht="15.5" x14ac:dyDescent="0.35">
      <c r="A150" s="4" t="s">
        <v>168</v>
      </c>
      <c r="B150" s="5">
        <v>0.98496240601503759</v>
      </c>
    </row>
    <row r="151" spans="1:2" ht="15.5" x14ac:dyDescent="0.35">
      <c r="A151" s="1" t="s">
        <v>169</v>
      </c>
      <c r="B151" s="6">
        <v>0.89552238805970152</v>
      </c>
    </row>
    <row r="152" spans="1:2" ht="15.5" x14ac:dyDescent="0.35">
      <c r="A152" s="4" t="s">
        <v>170</v>
      </c>
      <c r="B152" s="5" t="s">
        <v>171</v>
      </c>
    </row>
    <row r="153" spans="1:2" ht="15.5" x14ac:dyDescent="0.35">
      <c r="A153" s="1" t="s">
        <v>33</v>
      </c>
      <c r="B153" s="6">
        <v>0.91341077085533262</v>
      </c>
    </row>
    <row r="154" spans="1:2" ht="15.5" x14ac:dyDescent="0.35">
      <c r="A154" s="4" t="s">
        <v>34</v>
      </c>
      <c r="B154" s="5">
        <v>0.91304347826086951</v>
      </c>
    </row>
    <row r="155" spans="1:2" ht="15.5" x14ac:dyDescent="0.35">
      <c r="A155" s="1" t="s">
        <v>172</v>
      </c>
      <c r="B155" s="6">
        <v>0.96571428571428575</v>
      </c>
    </row>
    <row r="156" spans="1:2" ht="15.5" x14ac:dyDescent="0.35">
      <c r="A156" s="4" t="s">
        <v>173</v>
      </c>
      <c r="B156" s="5">
        <v>0.9859154929577465</v>
      </c>
    </row>
    <row r="157" spans="1:2" ht="15.5" x14ac:dyDescent="0.35">
      <c r="A157" s="1" t="s">
        <v>35</v>
      </c>
      <c r="B157" s="6">
        <v>0.92957746478873238</v>
      </c>
    </row>
    <row r="158" spans="1:2" ht="15.5" x14ac:dyDescent="0.35">
      <c r="A158" s="4" t="s">
        <v>174</v>
      </c>
      <c r="B158" s="5">
        <v>0.92307692307692313</v>
      </c>
    </row>
    <row r="159" spans="1:2" ht="15.5" x14ac:dyDescent="0.35">
      <c r="A159" s="1" t="s">
        <v>175</v>
      </c>
      <c r="B159" s="6">
        <v>0.96969696969696972</v>
      </c>
    </row>
    <row r="160" spans="1:2" ht="15.5" x14ac:dyDescent="0.35">
      <c r="A160" s="4" t="s">
        <v>176</v>
      </c>
      <c r="B160" s="5">
        <v>0.93942505133470222</v>
      </c>
    </row>
    <row r="161" spans="1:2" ht="15.5" x14ac:dyDescent="0.35">
      <c r="A161" s="1" t="s">
        <v>177</v>
      </c>
      <c r="B161" s="6">
        <v>0.93975903614457834</v>
      </c>
    </row>
    <row r="162" spans="1:2" ht="15.5" x14ac:dyDescent="0.35">
      <c r="A162" s="4" t="s">
        <v>178</v>
      </c>
      <c r="B162" s="5">
        <v>0.95281815863300179</v>
      </c>
    </row>
    <row r="163" spans="1:2" ht="15.5" x14ac:dyDescent="0.35">
      <c r="A163" s="1" t="s">
        <v>179</v>
      </c>
      <c r="B163" s="6">
        <v>0.9375</v>
      </c>
    </row>
    <row r="164" spans="1:2" ht="15.5" x14ac:dyDescent="0.35">
      <c r="A164" s="4" t="s">
        <v>180</v>
      </c>
      <c r="B164" s="5">
        <v>0.96653543307086609</v>
      </c>
    </row>
    <row r="165" spans="1:2" ht="15.5" x14ac:dyDescent="0.35">
      <c r="A165" s="1" t="s">
        <v>181</v>
      </c>
      <c r="B165" s="6">
        <v>1</v>
      </c>
    </row>
    <row r="166" spans="1:2" ht="15.5" x14ac:dyDescent="0.35">
      <c r="A166" s="4" t="s">
        <v>37</v>
      </c>
      <c r="B166" s="5">
        <v>0.94448640483383683</v>
      </c>
    </row>
    <row r="167" spans="1:2" ht="15.5" x14ac:dyDescent="0.35">
      <c r="A167" s="1" t="s">
        <v>182</v>
      </c>
      <c r="B167" s="6">
        <v>0.93127147766323026</v>
      </c>
    </row>
    <row r="168" spans="1:2" ht="15.5" x14ac:dyDescent="0.35">
      <c r="A168" s="4" t="s">
        <v>183</v>
      </c>
      <c r="B168" s="5">
        <v>1</v>
      </c>
    </row>
    <row r="169" spans="1:2" ht="15.5" x14ac:dyDescent="0.35">
      <c r="A169" s="1" t="s">
        <v>184</v>
      </c>
      <c r="B169" s="6">
        <v>0.84</v>
      </c>
    </row>
    <row r="170" spans="1:2" ht="15.5" x14ac:dyDescent="0.35">
      <c r="A170" s="4" t="s">
        <v>185</v>
      </c>
      <c r="B170" s="5">
        <v>0.87</v>
      </c>
    </row>
    <row r="171" spans="1:2" ht="15.5" x14ac:dyDescent="0.35">
      <c r="A171" s="1" t="s">
        <v>186</v>
      </c>
      <c r="B171" s="6">
        <v>0.92669278119753773</v>
      </c>
    </row>
    <row r="172" spans="1:2" ht="15.5" x14ac:dyDescent="0.35">
      <c r="A172" s="4" t="s">
        <v>187</v>
      </c>
      <c r="B172" s="5">
        <v>0.96569920844327173</v>
      </c>
    </row>
    <row r="173" spans="1:2" ht="15.5" x14ac:dyDescent="0.35">
      <c r="A173" s="1" t="s">
        <v>188</v>
      </c>
      <c r="B173" s="6">
        <v>0.96747967479674801</v>
      </c>
    </row>
    <row r="174" spans="1:2" ht="15.5" x14ac:dyDescent="0.35">
      <c r="A174" s="4" t="s">
        <v>189</v>
      </c>
      <c r="B174" s="5">
        <v>1</v>
      </c>
    </row>
    <row r="175" spans="1:2" ht="15.5" x14ac:dyDescent="0.35">
      <c r="A175" s="1" t="s">
        <v>190</v>
      </c>
      <c r="B175" s="6">
        <v>0.94647519582245432</v>
      </c>
    </row>
    <row r="176" spans="1:2" ht="15.5" x14ac:dyDescent="0.35">
      <c r="A176" s="4" t="s">
        <v>191</v>
      </c>
      <c r="B176" s="5">
        <v>0.9625850340136054</v>
      </c>
    </row>
    <row r="177" spans="1:2" ht="15.5" x14ac:dyDescent="0.35">
      <c r="A177" s="1" t="s">
        <v>192</v>
      </c>
      <c r="B177" s="6">
        <v>0.92920353982300885</v>
      </c>
    </row>
    <row r="178" spans="1:2" ht="15.5" x14ac:dyDescent="0.35">
      <c r="A178" s="4" t="s">
        <v>193</v>
      </c>
      <c r="B178" s="5">
        <v>0.97222222222222221</v>
      </c>
    </row>
    <row r="179" spans="1:2" ht="15.5" x14ac:dyDescent="0.35">
      <c r="A179" s="1" t="s">
        <v>194</v>
      </c>
      <c r="B179" s="6">
        <v>0.96574614976101969</v>
      </c>
    </row>
    <row r="180" spans="1:2" ht="15.5" x14ac:dyDescent="0.35">
      <c r="A180" s="4" t="s">
        <v>195</v>
      </c>
      <c r="B180" s="5">
        <v>0.97916666666666663</v>
      </c>
    </row>
    <row r="181" spans="1:2" ht="15.5" x14ac:dyDescent="0.35">
      <c r="A181" s="1" t="s">
        <v>196</v>
      </c>
      <c r="B181" s="6">
        <v>0.84210526315789469</v>
      </c>
    </row>
    <row r="182" spans="1:2" ht="15.5" x14ac:dyDescent="0.35">
      <c r="A182" s="4" t="s">
        <v>197</v>
      </c>
      <c r="B182" s="5">
        <v>0.91596638655462181</v>
      </c>
    </row>
    <row r="183" spans="1:2" ht="15.5" x14ac:dyDescent="0.35">
      <c r="A183" s="1" t="s">
        <v>198</v>
      </c>
      <c r="B183" s="6">
        <v>0.92767295597484278</v>
      </c>
    </row>
    <row r="184" spans="1:2" ht="15.5" x14ac:dyDescent="0.35">
      <c r="A184" s="4" t="s">
        <v>199</v>
      </c>
      <c r="B184" s="5">
        <v>0.93617021276595747</v>
      </c>
    </row>
    <row r="185" spans="1:2" ht="15.5" x14ac:dyDescent="0.35">
      <c r="A185" s="1" t="s">
        <v>200</v>
      </c>
      <c r="B185" s="6">
        <v>0.89814350225790263</v>
      </c>
    </row>
    <row r="186" spans="1:2" ht="15.5" x14ac:dyDescent="0.35">
      <c r="A186" s="4" t="s">
        <v>38</v>
      </c>
      <c r="B186" s="5">
        <v>0.97241379310344822</v>
      </c>
    </row>
    <row r="187" spans="1:2" ht="15.5" x14ac:dyDescent="0.35">
      <c r="A187" s="1" t="s">
        <v>201</v>
      </c>
      <c r="B187" s="6">
        <v>0.79969879518072284</v>
      </c>
    </row>
    <row r="188" spans="1:2" ht="15.5" x14ac:dyDescent="0.35">
      <c r="A188" s="4" t="s">
        <v>202</v>
      </c>
      <c r="B188" s="5">
        <v>0.93963782696177067</v>
      </c>
    </row>
    <row r="189" spans="1:2" ht="15.5" x14ac:dyDescent="0.35">
      <c r="A189" s="1" t="s">
        <v>39</v>
      </c>
      <c r="B189" s="6">
        <v>0.95959595959595956</v>
      </c>
    </row>
    <row r="190" spans="1:2" ht="15.5" x14ac:dyDescent="0.35">
      <c r="A190" s="4" t="s">
        <v>203</v>
      </c>
      <c r="B190" s="5">
        <v>1</v>
      </c>
    </row>
    <row r="191" spans="1:2" ht="15.5" x14ac:dyDescent="0.35">
      <c r="A191" s="1" t="s">
        <v>204</v>
      </c>
      <c r="B191" s="6">
        <v>0.967741935483871</v>
      </c>
    </row>
    <row r="192" spans="1:2" ht="15.5" x14ac:dyDescent="0.35">
      <c r="A192" s="4" t="s">
        <v>40</v>
      </c>
      <c r="B192" s="5">
        <v>0.92928039702233256</v>
      </c>
    </row>
    <row r="193" spans="1:2" ht="15.5" x14ac:dyDescent="0.35">
      <c r="A193" s="1" t="s">
        <v>205</v>
      </c>
      <c r="B193" s="6">
        <v>0.98461538461538467</v>
      </c>
    </row>
    <row r="194" spans="1:2" ht="15.5" x14ac:dyDescent="0.35">
      <c r="A194" s="4" t="s">
        <v>206</v>
      </c>
      <c r="B194" s="5">
        <v>0.94444444444444442</v>
      </c>
    </row>
    <row r="195" spans="1:2" ht="15.5" x14ac:dyDescent="0.35">
      <c r="A195" s="1" t="s">
        <v>207</v>
      </c>
      <c r="B195" s="6">
        <v>0.96610169491525422</v>
      </c>
    </row>
    <row r="196" spans="1:2" ht="15.5" x14ac:dyDescent="0.35">
      <c r="A196" s="4" t="s">
        <v>41</v>
      </c>
      <c r="B196" s="5">
        <v>0.98604651162790702</v>
      </c>
    </row>
    <row r="197" spans="1:2" ht="15.5" x14ac:dyDescent="0.35">
      <c r="A197" s="1" t="s">
        <v>208</v>
      </c>
      <c r="B197" s="6">
        <v>0.967741935483871</v>
      </c>
    </row>
    <row r="198" spans="1:2" ht="15.5" x14ac:dyDescent="0.35">
      <c r="A198" s="4" t="s">
        <v>209</v>
      </c>
      <c r="B198" s="5">
        <v>1</v>
      </c>
    </row>
    <row r="199" spans="1:2" ht="15.5" x14ac:dyDescent="0.35">
      <c r="A199" s="1" t="s">
        <v>210</v>
      </c>
      <c r="B199" s="6">
        <v>0.96818181818181814</v>
      </c>
    </row>
    <row r="200" spans="1:2" ht="15.5" x14ac:dyDescent="0.35">
      <c r="A200" s="4" t="s">
        <v>42</v>
      </c>
      <c r="B200" s="5">
        <v>0.90909090909090906</v>
      </c>
    </row>
    <row r="201" spans="1:2" ht="15.5" x14ac:dyDescent="0.35">
      <c r="A201" s="1" t="s">
        <v>211</v>
      </c>
      <c r="B201" s="6">
        <v>0.98101265822784811</v>
      </c>
    </row>
    <row r="202" spans="1:2" ht="15.5" x14ac:dyDescent="0.35">
      <c r="A202" s="4" t="s">
        <v>212</v>
      </c>
      <c r="B202" s="5">
        <v>0.91818181818181821</v>
      </c>
    </row>
    <row r="203" spans="1:2" ht="15.5" x14ac:dyDescent="0.35">
      <c r="A203" s="1" t="s">
        <v>213</v>
      </c>
      <c r="B203" s="6">
        <v>0.89393939393939392</v>
      </c>
    </row>
    <row r="204" spans="1:2" ht="15.5" x14ac:dyDescent="0.35">
      <c r="A204" s="4" t="s">
        <v>214</v>
      </c>
      <c r="B204" s="5">
        <v>0.89855072463768115</v>
      </c>
    </row>
    <row r="205" spans="1:2" ht="15.5" x14ac:dyDescent="0.35">
      <c r="A205" s="1" t="s">
        <v>215</v>
      </c>
      <c r="B205" s="6">
        <v>0.96</v>
      </c>
    </row>
    <row r="206" spans="1:2" ht="15.5" x14ac:dyDescent="0.35">
      <c r="A206" s="4" t="s">
        <v>216</v>
      </c>
      <c r="B206" s="5">
        <v>0.97142857142857142</v>
      </c>
    </row>
    <row r="207" spans="1:2" ht="15.5" x14ac:dyDescent="0.35">
      <c r="A207" s="1" t="s">
        <v>217</v>
      </c>
      <c r="B207" s="6">
        <v>0.92307692307692313</v>
      </c>
    </row>
    <row r="208" spans="1:2" ht="15.5" x14ac:dyDescent="0.35">
      <c r="A208" s="4" t="s">
        <v>218</v>
      </c>
      <c r="B208" s="5">
        <v>1</v>
      </c>
    </row>
    <row r="209" spans="1:2" ht="15.5" x14ac:dyDescent="0.35">
      <c r="A209" s="1" t="s">
        <v>43</v>
      </c>
      <c r="B209" s="6">
        <v>0.97252747252747251</v>
      </c>
    </row>
    <row r="210" spans="1:2" ht="15.5" x14ac:dyDescent="0.35">
      <c r="A210" s="4" t="s">
        <v>44</v>
      </c>
      <c r="B210" s="5">
        <v>0.90243902439024393</v>
      </c>
    </row>
    <row r="211" spans="1:2" ht="15.5" x14ac:dyDescent="0.35">
      <c r="A211" s="1" t="s">
        <v>219</v>
      </c>
      <c r="B211" s="6">
        <v>0.93805309734513276</v>
      </c>
    </row>
    <row r="212" spans="1:2" ht="15.5" x14ac:dyDescent="0.35">
      <c r="A212" s="4" t="s">
        <v>220</v>
      </c>
      <c r="B212" s="5">
        <v>0.92592592592592593</v>
      </c>
    </row>
    <row r="213" spans="1:2" ht="15.5" x14ac:dyDescent="0.35">
      <c r="A213" s="1" t="s">
        <v>221</v>
      </c>
      <c r="B213" s="6">
        <v>0.9290830945558739</v>
      </c>
    </row>
    <row r="214" spans="1:2" ht="15.5" x14ac:dyDescent="0.35">
      <c r="A214" s="4" t="s">
        <v>222</v>
      </c>
      <c r="B214" s="5">
        <v>0.8951048951048951</v>
      </c>
    </row>
    <row r="215" spans="1:2" ht="15.5" x14ac:dyDescent="0.35">
      <c r="A215" s="1" t="s">
        <v>223</v>
      </c>
      <c r="B215" s="6">
        <v>0.94577685088633989</v>
      </c>
    </row>
    <row r="216" spans="1:2" ht="15.5" x14ac:dyDescent="0.35">
      <c r="A216" s="4" t="s">
        <v>224</v>
      </c>
      <c r="B216" s="5">
        <v>0.91836734693877553</v>
      </c>
    </row>
    <row r="217" spans="1:2" ht="15.5" x14ac:dyDescent="0.35">
      <c r="A217" s="1" t="s">
        <v>225</v>
      </c>
      <c r="B217" s="6">
        <v>1</v>
      </c>
    </row>
    <row r="218" spans="1:2" ht="15.5" x14ac:dyDescent="0.35">
      <c r="A218" s="4" t="s">
        <v>226</v>
      </c>
      <c r="B218" s="5">
        <v>1</v>
      </c>
    </row>
    <row r="219" spans="1:2" ht="15.5" x14ac:dyDescent="0.35">
      <c r="A219" s="1" t="s">
        <v>227</v>
      </c>
      <c r="B219" s="6">
        <v>0.94444444444444442</v>
      </c>
    </row>
    <row r="220" spans="1:2" ht="15.5" x14ac:dyDescent="0.35">
      <c r="A220" s="4" t="s">
        <v>228</v>
      </c>
      <c r="B220" s="5">
        <v>0.94047619047619047</v>
      </c>
    </row>
    <row r="221" spans="1:2" ht="15.5" x14ac:dyDescent="0.35">
      <c r="A221" s="1" t="s">
        <v>45</v>
      </c>
      <c r="B221" s="6">
        <v>0.9363544813695871</v>
      </c>
    </row>
    <row r="222" spans="1:2" ht="15.5" x14ac:dyDescent="0.35">
      <c r="A222" s="4" t="s">
        <v>229</v>
      </c>
      <c r="B222" s="5">
        <v>0.96212952799121843</v>
      </c>
    </row>
    <row r="223" spans="1:2" ht="15.5" x14ac:dyDescent="0.35">
      <c r="A223" s="1" t="s">
        <v>230</v>
      </c>
      <c r="B223" s="6">
        <v>1</v>
      </c>
    </row>
    <row r="224" spans="1:2" ht="15.5" x14ac:dyDescent="0.35">
      <c r="A224" s="4" t="s">
        <v>46</v>
      </c>
      <c r="B224" s="5">
        <v>0.93076923076923079</v>
      </c>
    </row>
    <row r="225" spans="1:2" ht="15.5" x14ac:dyDescent="0.35">
      <c r="A225" s="1" t="s">
        <v>231</v>
      </c>
      <c r="B225" s="9">
        <v>0.9285714285714286</v>
      </c>
    </row>
    <row r="226" spans="1:2" ht="15.5" x14ac:dyDescent="0.35">
      <c r="A226" s="7" t="s">
        <v>232</v>
      </c>
      <c r="B226" s="8">
        <v>0.97867803837953093</v>
      </c>
    </row>
    <row r="227" spans="1:2" ht="15.5" x14ac:dyDescent="0.35">
      <c r="A227" s="1" t="s">
        <v>233</v>
      </c>
      <c r="B227" s="6">
        <v>0.95813639432815667</v>
      </c>
    </row>
    <row r="228" spans="1:2" ht="15.5" x14ac:dyDescent="0.35">
      <c r="A228" s="4" t="s">
        <v>47</v>
      </c>
      <c r="B228" s="5">
        <v>0.86702561592429439</v>
      </c>
    </row>
    <row r="229" spans="1:2" ht="15.5" x14ac:dyDescent="0.35">
      <c r="A229" s="1" t="s">
        <v>234</v>
      </c>
      <c r="B229" s="6">
        <v>0.91666666666666663</v>
      </c>
    </row>
    <row r="230" spans="1:2" ht="15.5" x14ac:dyDescent="0.35">
      <c r="A230" s="4" t="s">
        <v>235</v>
      </c>
      <c r="B230" s="5">
        <v>0.90566037735849059</v>
      </c>
    </row>
    <row r="231" spans="1:2" ht="15.5" x14ac:dyDescent="0.35">
      <c r="A231" s="1" t="s">
        <v>48</v>
      </c>
      <c r="B231" s="6">
        <v>0.89690721649484539</v>
      </c>
    </row>
    <row r="232" spans="1:2" ht="15.5" x14ac:dyDescent="0.35">
      <c r="A232" s="4" t="s">
        <v>236</v>
      </c>
      <c r="B232" s="5">
        <v>0.98148148148148151</v>
      </c>
    </row>
    <row r="233" spans="1:2" ht="15.5" x14ac:dyDescent="0.35">
      <c r="A233" s="1" t="s">
        <v>237</v>
      </c>
      <c r="B233" s="6">
        <v>0.94225721784776906</v>
      </c>
    </row>
    <row r="234" spans="1:2" ht="15.5" x14ac:dyDescent="0.35">
      <c r="A234" s="4" t="s">
        <v>238</v>
      </c>
      <c r="B234" s="5">
        <v>0.91033434650455924</v>
      </c>
    </row>
    <row r="235" spans="1:2" ht="15.5" x14ac:dyDescent="0.35">
      <c r="A235" s="1" t="s">
        <v>239</v>
      </c>
      <c r="B235" s="6">
        <v>0.92067988668555245</v>
      </c>
    </row>
    <row r="236" spans="1:2" ht="15.5" x14ac:dyDescent="0.35">
      <c r="A236" s="4" t="s">
        <v>240</v>
      </c>
      <c r="B236" s="5">
        <v>0.97942001870907391</v>
      </c>
    </row>
    <row r="237" spans="1:2" ht="15.5" x14ac:dyDescent="0.35">
      <c r="A237" s="1" t="s">
        <v>241</v>
      </c>
      <c r="B237" s="6">
        <v>0.93989983305509184</v>
      </c>
    </row>
    <row r="238" spans="1:2" ht="15.5" x14ac:dyDescent="0.35">
      <c r="A238" s="4" t="s">
        <v>242</v>
      </c>
      <c r="B238" s="5">
        <v>0.95794871794871794</v>
      </c>
    </row>
    <row r="239" spans="1:2" ht="15.5" x14ac:dyDescent="0.35">
      <c r="A239" s="1" t="s">
        <v>243</v>
      </c>
      <c r="B239" s="6">
        <v>0.9337349397590361</v>
      </c>
    </row>
    <row r="240" spans="1:2" ht="15.5" x14ac:dyDescent="0.35">
      <c r="A240" s="4" t="s">
        <v>244</v>
      </c>
      <c r="B240" s="5">
        <v>0.95333333333333337</v>
      </c>
    </row>
    <row r="241" spans="1:2" ht="15.5" x14ac:dyDescent="0.35">
      <c r="A241" s="1" t="s">
        <v>245</v>
      </c>
      <c r="B241" s="6">
        <v>0.99418911780243002</v>
      </c>
    </row>
    <row r="242" spans="1:2" ht="15.5" x14ac:dyDescent="0.35">
      <c r="A242" s="4" t="s">
        <v>246</v>
      </c>
      <c r="B242" s="5">
        <v>0.98429319371727753</v>
      </c>
    </row>
    <row r="243" spans="1:2" ht="15.5" x14ac:dyDescent="0.35">
      <c r="A243" s="1" t="s">
        <v>247</v>
      </c>
      <c r="B243" s="6">
        <v>0.94545454545454544</v>
      </c>
    </row>
    <row r="244" spans="1:2" ht="15.5" x14ac:dyDescent="0.35">
      <c r="A244" s="4" t="s">
        <v>248</v>
      </c>
      <c r="B244" s="5">
        <v>0.96170212765957441</v>
      </c>
    </row>
    <row r="245" spans="1:2" ht="15.5" x14ac:dyDescent="0.35">
      <c r="A245" s="1" t="s">
        <v>249</v>
      </c>
      <c r="B245" s="6">
        <v>0.97931034482758617</v>
      </c>
    </row>
    <row r="246" spans="1:2" ht="15.5" x14ac:dyDescent="0.35">
      <c r="A246" s="4" t="s">
        <v>250</v>
      </c>
      <c r="B246" s="5">
        <v>0.97345132743362828</v>
      </c>
    </row>
    <row r="247" spans="1:2" ht="15.5" x14ac:dyDescent="0.35">
      <c r="A247" s="1" t="s">
        <v>49</v>
      </c>
      <c r="B247" s="6">
        <v>0.93076162215628089</v>
      </c>
    </row>
    <row r="248" spans="1:2" ht="15.5" x14ac:dyDescent="0.35">
      <c r="A248" s="4" t="s">
        <v>251</v>
      </c>
      <c r="B248" s="5">
        <v>0.93492063492063493</v>
      </c>
    </row>
    <row r="249" spans="1:2" ht="15.5" x14ac:dyDescent="0.35">
      <c r="A249" s="1" t="s">
        <v>252</v>
      </c>
      <c r="B249" s="6">
        <v>0.99180327868852458</v>
      </c>
    </row>
    <row r="250" spans="1:2" ht="15.5" x14ac:dyDescent="0.35">
      <c r="A250" s="4" t="s">
        <v>253</v>
      </c>
      <c r="B250" s="5">
        <v>0.90679094540612515</v>
      </c>
    </row>
    <row r="251" spans="1:2" ht="15.5" x14ac:dyDescent="0.35">
      <c r="A251" s="1" t="s">
        <v>254</v>
      </c>
      <c r="B251" s="6">
        <v>0.92558139534883721</v>
      </c>
    </row>
    <row r="252" spans="1:2" ht="15.5" x14ac:dyDescent="0.35">
      <c r="A252" s="4" t="s">
        <v>50</v>
      </c>
      <c r="B252" s="5">
        <v>0.94615384615384612</v>
      </c>
    </row>
    <row r="253" spans="1:2" ht="15.5" x14ac:dyDescent="0.35">
      <c r="A253" s="1" t="s">
        <v>255</v>
      </c>
      <c r="B253" s="6">
        <v>0.90954773869346739</v>
      </c>
    </row>
    <row r="254" spans="1:2" ht="15.5" x14ac:dyDescent="0.35">
      <c r="A254" s="4" t="s">
        <v>256</v>
      </c>
      <c r="B254" s="5">
        <v>0.98429319371727753</v>
      </c>
    </row>
    <row r="255" spans="1:2" ht="15.5" x14ac:dyDescent="0.35">
      <c r="A255" s="1" t="s">
        <v>257</v>
      </c>
      <c r="B255" s="6">
        <v>1</v>
      </c>
    </row>
    <row r="256" spans="1:2" ht="15.5" x14ac:dyDescent="0.35">
      <c r="A256" s="10" t="s">
        <v>258</v>
      </c>
      <c r="B256" s="11">
        <v>0.93242124632591417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Shah</dc:creator>
  <cp:lastModifiedBy>Shah, Malaika</cp:lastModifiedBy>
  <dcterms:created xsi:type="dcterms:W3CDTF">2015-06-05T18:17:20Z</dcterms:created>
  <dcterms:modified xsi:type="dcterms:W3CDTF">2025-10-05T17:45:45Z</dcterms:modified>
</cp:coreProperties>
</file>